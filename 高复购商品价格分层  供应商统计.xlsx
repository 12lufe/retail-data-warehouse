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126A9A39-79D1-4238-9DCC-0436F972B81A}" xr6:coauthVersionLast="47" xr6:coauthVersionMax="47" xr10:uidLastSave="{00000000-0000-0000-0000-000000000000}"/>
  <bookViews>
    <workbookView xWindow="4350" yWindow="3180" windowWidth="19200" windowHeight="11710" xr2:uid="{00000000-000D-0000-FFFF-FFFF00000000}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P4" i="1"/>
  <c r="O4" i="1"/>
  <c r="N4" i="1"/>
  <c r="M4" i="1"/>
  <c r="I4" i="1"/>
  <c r="H4" i="1"/>
  <c r="G4" i="1"/>
</calcChain>
</file>

<file path=xl/sharedStrings.xml><?xml version="1.0" encoding="utf-8"?>
<sst xmlns="http://schemas.openxmlformats.org/spreadsheetml/2006/main" count="1177" uniqueCount="223">
  <si>
    <t>price_level</t>
  </si>
  <si>
    <t>supplier_id</t>
  </si>
  <si>
    <t>country</t>
  </si>
  <si>
    <t>total_buy_qty</t>
  </si>
  <si>
    <t>高价&gt;200</t>
  </si>
  <si>
    <t>68</t>
  </si>
  <si>
    <t>China</t>
  </si>
  <si>
    <t>9</t>
  </si>
  <si>
    <t>USA</t>
  </si>
  <si>
    <t>103</t>
  </si>
  <si>
    <t>1</t>
  </si>
  <si>
    <t>India</t>
  </si>
  <si>
    <t>11</t>
  </si>
  <si>
    <t>142</t>
  </si>
  <si>
    <t>130</t>
  </si>
  <si>
    <t>21</t>
  </si>
  <si>
    <t>167</t>
  </si>
  <si>
    <t>107</t>
  </si>
  <si>
    <t>27</t>
  </si>
  <si>
    <t>149</t>
  </si>
  <si>
    <t>38</t>
  </si>
  <si>
    <t>193</t>
  </si>
  <si>
    <t>74</t>
  </si>
  <si>
    <t>189</t>
  </si>
  <si>
    <t>18</t>
  </si>
  <si>
    <t>92</t>
  </si>
  <si>
    <t>93</t>
  </si>
  <si>
    <t>91</t>
  </si>
  <si>
    <t>77</t>
  </si>
  <si>
    <t>191</t>
  </si>
  <si>
    <t>29</t>
  </si>
  <si>
    <t>20</t>
  </si>
  <si>
    <t>157</t>
  </si>
  <si>
    <t>44</t>
  </si>
  <si>
    <t>13</t>
  </si>
  <si>
    <t>120</t>
  </si>
  <si>
    <t>17</t>
  </si>
  <si>
    <t>137</t>
  </si>
  <si>
    <t>41</t>
  </si>
  <si>
    <t>70</t>
  </si>
  <si>
    <t>55</t>
  </si>
  <si>
    <t>58</t>
  </si>
  <si>
    <t>140</t>
  </si>
  <si>
    <t>168</t>
  </si>
  <si>
    <t>165</t>
  </si>
  <si>
    <t>200</t>
  </si>
  <si>
    <t>45</t>
  </si>
  <si>
    <t>48</t>
  </si>
  <si>
    <t>119</t>
  </si>
  <si>
    <t>133</t>
  </si>
  <si>
    <t>125</t>
  </si>
  <si>
    <t>43</t>
  </si>
  <si>
    <t>22</t>
  </si>
  <si>
    <t>197</t>
  </si>
  <si>
    <t>15</t>
  </si>
  <si>
    <t>86</t>
  </si>
  <si>
    <t>112</t>
  </si>
  <si>
    <t>126</t>
  </si>
  <si>
    <t>108</t>
  </si>
  <si>
    <t>34</t>
  </si>
  <si>
    <t>82</t>
  </si>
  <si>
    <t>141</t>
  </si>
  <si>
    <t>73</t>
  </si>
  <si>
    <t>150</t>
  </si>
  <si>
    <t>175</t>
  </si>
  <si>
    <t>76</t>
  </si>
  <si>
    <t>162</t>
  </si>
  <si>
    <t>177</t>
  </si>
  <si>
    <t>42</t>
  </si>
  <si>
    <t>101</t>
  </si>
  <si>
    <t>60</t>
  </si>
  <si>
    <t>155</t>
  </si>
  <si>
    <t>170</t>
  </si>
  <si>
    <t>40</t>
  </si>
  <si>
    <t>176</t>
  </si>
  <si>
    <t>96</t>
  </si>
  <si>
    <t>53</t>
  </si>
  <si>
    <t>171</t>
  </si>
  <si>
    <t>83</t>
  </si>
  <si>
    <t>6</t>
  </si>
  <si>
    <t>56</t>
  </si>
  <si>
    <t>84</t>
  </si>
  <si>
    <t>183</t>
  </si>
  <si>
    <t>181</t>
  </si>
  <si>
    <t>30</t>
  </si>
  <si>
    <t>54</t>
  </si>
  <si>
    <t>198</t>
  </si>
  <si>
    <t>139</t>
  </si>
  <si>
    <t>188</t>
  </si>
  <si>
    <t>72</t>
  </si>
  <si>
    <t>190</t>
  </si>
  <si>
    <t>8</t>
  </si>
  <si>
    <t>78</t>
  </si>
  <si>
    <t>36</t>
  </si>
  <si>
    <t>19</t>
  </si>
  <si>
    <t>159</t>
  </si>
  <si>
    <t>196</t>
  </si>
  <si>
    <t>37</t>
  </si>
  <si>
    <t>62</t>
  </si>
  <si>
    <t>166</t>
  </si>
  <si>
    <t>180</t>
  </si>
  <si>
    <t>194</t>
  </si>
  <si>
    <t>104</t>
  </si>
  <si>
    <t>109</t>
  </si>
  <si>
    <t>129</t>
  </si>
  <si>
    <t>81</t>
  </si>
  <si>
    <t>144</t>
  </si>
  <si>
    <t>147</t>
  </si>
  <si>
    <t>179</t>
  </si>
  <si>
    <t>185</t>
  </si>
  <si>
    <t>172</t>
  </si>
  <si>
    <t>114</t>
  </si>
  <si>
    <t>94</t>
  </si>
  <si>
    <t>186</t>
  </si>
  <si>
    <t>173</t>
  </si>
  <si>
    <t>128</t>
  </si>
  <si>
    <t>145</t>
  </si>
  <si>
    <t>65</t>
  </si>
  <si>
    <t>35</t>
  </si>
  <si>
    <t>25</t>
  </si>
  <si>
    <t>151</t>
  </si>
  <si>
    <t>50</t>
  </si>
  <si>
    <t>122</t>
  </si>
  <si>
    <t>169</t>
  </si>
  <si>
    <t>195</t>
  </si>
  <si>
    <t>102</t>
  </si>
  <si>
    <t>152</t>
  </si>
  <si>
    <t>124</t>
  </si>
  <si>
    <t>4</t>
  </si>
  <si>
    <t>66</t>
  </si>
  <si>
    <t>116</t>
  </si>
  <si>
    <t>67</t>
  </si>
  <si>
    <t>111</t>
  </si>
  <si>
    <t>131</t>
  </si>
  <si>
    <t>89</t>
  </si>
  <si>
    <t>199</t>
  </si>
  <si>
    <t>100</t>
  </si>
  <si>
    <t>10</t>
  </si>
  <si>
    <t>192</t>
  </si>
  <si>
    <t>187</t>
  </si>
  <si>
    <t>164</t>
  </si>
  <si>
    <t>28</t>
  </si>
  <si>
    <t>12</t>
  </si>
  <si>
    <t>127</t>
  </si>
  <si>
    <t>49</t>
  </si>
  <si>
    <t>31</t>
  </si>
  <si>
    <t>46</t>
  </si>
  <si>
    <t>121</t>
  </si>
  <si>
    <t>98</t>
  </si>
  <si>
    <t>59</t>
  </si>
  <si>
    <t>184</t>
  </si>
  <si>
    <t>182</t>
  </si>
  <si>
    <t>3</t>
  </si>
  <si>
    <t>123</t>
  </si>
  <si>
    <t>136</t>
  </si>
  <si>
    <t>80</t>
  </si>
  <si>
    <t>106</t>
  </si>
  <si>
    <t>160</t>
  </si>
  <si>
    <t>5</t>
  </si>
  <si>
    <t>178</t>
  </si>
  <si>
    <t>138</t>
  </si>
  <si>
    <t>117</t>
  </si>
  <si>
    <t>63</t>
  </si>
  <si>
    <t>87</t>
  </si>
  <si>
    <t>32</t>
  </si>
  <si>
    <t>113</t>
  </si>
  <si>
    <t>69</t>
  </si>
  <si>
    <t>158</t>
  </si>
  <si>
    <t>163</t>
  </si>
  <si>
    <t>16</t>
  </si>
  <si>
    <t>47</t>
  </si>
  <si>
    <t>115</t>
  </si>
  <si>
    <t>14</t>
  </si>
  <si>
    <t>24</t>
  </si>
  <si>
    <t>64</t>
  </si>
  <si>
    <t>2</t>
  </si>
  <si>
    <t>61</t>
  </si>
  <si>
    <t>39</t>
  </si>
  <si>
    <t>51</t>
  </si>
  <si>
    <t>105</t>
  </si>
  <si>
    <t>26</t>
  </si>
  <si>
    <t>71</t>
  </si>
  <si>
    <t>79</t>
  </si>
  <si>
    <t>88</t>
  </si>
  <si>
    <t>174</t>
  </si>
  <si>
    <t>97</t>
  </si>
  <si>
    <t>99</t>
  </si>
  <si>
    <t>23</t>
  </si>
  <si>
    <t>154</t>
  </si>
  <si>
    <t>135</t>
  </si>
  <si>
    <t>57</t>
  </si>
  <si>
    <t>153</t>
  </si>
  <si>
    <t>7</t>
  </si>
  <si>
    <t>75</t>
  </si>
  <si>
    <t>33</t>
  </si>
  <si>
    <t>90</t>
  </si>
  <si>
    <t>110</t>
  </si>
  <si>
    <t>148</t>
  </si>
  <si>
    <t>52</t>
  </si>
  <si>
    <t>134</t>
  </si>
  <si>
    <t>85</t>
  </si>
  <si>
    <t>118</t>
  </si>
  <si>
    <t>146</t>
  </si>
  <si>
    <t>156</t>
  </si>
  <si>
    <t>95</t>
  </si>
  <si>
    <t>143</t>
  </si>
  <si>
    <t>132</t>
  </si>
  <si>
    <t>161</t>
  </si>
  <si>
    <t>中端50~200</t>
  </si>
  <si>
    <r>
      <rPr>
        <sz val="11"/>
        <rFont val="微软雅黑"/>
        <family val="2"/>
        <charset val="134"/>
      </rPr>
      <t>高价</t>
    </r>
    <r>
      <rPr>
        <sz val="11"/>
        <rFont val="Calibri"/>
        <family val="2"/>
      </rPr>
      <t>&gt;200</t>
    </r>
    <phoneticPr fontId="1" type="noConversion"/>
  </si>
  <si>
    <r>
      <t>高价</t>
    </r>
    <r>
      <rPr>
        <sz val="11"/>
        <rFont val="Calibri"/>
      </rPr>
      <t>&gt;200</t>
    </r>
  </si>
  <si>
    <r>
      <rPr>
        <sz val="11"/>
        <rFont val="微软雅黑"/>
        <family val="2"/>
        <charset val="134"/>
      </rPr>
      <t>中端</t>
    </r>
    <r>
      <rPr>
        <sz val="11"/>
        <rFont val="Calibri"/>
        <family val="2"/>
      </rPr>
      <t>50~200</t>
    </r>
    <phoneticPr fontId="1" type="noConversion"/>
  </si>
  <si>
    <t>总购买数量</t>
    <phoneticPr fontId="1" type="noConversion"/>
  </si>
  <si>
    <t>中端50~200</t>
    <phoneticPr fontId="1" type="noConversion"/>
  </si>
  <si>
    <t>行标签</t>
  </si>
  <si>
    <t>总计</t>
  </si>
  <si>
    <t>求和项:total_buy_qty</t>
  </si>
  <si>
    <t>China</t>
    <phoneticPr fontId="1" type="noConversion"/>
  </si>
  <si>
    <t>India</t>
    <phoneticPr fontId="1" type="noConversion"/>
  </si>
  <si>
    <t>USA</t>
    <phoneticPr fontId="1" type="noConversion"/>
  </si>
  <si>
    <t>(全部)</t>
  </si>
  <si>
    <t>总</t>
    <phoneticPr fontId="1" type="noConversion"/>
  </si>
  <si>
    <r>
      <t>usa</t>
    </r>
    <r>
      <rPr>
        <sz val="11"/>
        <rFont val="宋体"/>
        <family val="3"/>
        <charset val="134"/>
      </rPr>
      <t>占比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</si>
</sst>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9"/>
      <name val="宋体"/>
      <family val="3"/>
      <charset val="134"/>
    </font>
    <font>
      <sz val="11"/>
      <name val="微软雅黑"/>
      <family val="2"/>
      <charset val="134"/>
    </font>
    <font>
      <sz val="11"/>
      <name val="Calibri"/>
      <family val="2"/>
    </font>
    <font>
      <sz val="11"/>
      <name val="Calibri"/>
      <family val="2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高价中端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23451945865257406"/>
          <c:y val="0.16844925634295715"/>
          <c:w val="0.53814858048404324"/>
          <c:h val="0.6932400116652085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073-4AD7-89B1-65E3A722A75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073-4AD7-89B1-65E3A722A7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Sheet1!$G$3:$H$3</c:f>
              <c:strCache>
                <c:ptCount val="2"/>
                <c:pt idx="0">
                  <c:v>高价&gt;200</c:v>
                </c:pt>
                <c:pt idx="1">
                  <c:v>中端50~200</c:v>
                </c:pt>
              </c:strCache>
            </c:strRef>
          </c:cat>
          <c:val>
            <c:numRef>
              <c:f>Sheet1!$G$4:$H$4</c:f>
              <c:numCache>
                <c:formatCode>General</c:formatCode>
                <c:ptCount val="2"/>
                <c:pt idx="0">
                  <c:v>1035380</c:v>
                </c:pt>
                <c:pt idx="1">
                  <c:v>20729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3E-4A56-BFFC-AB05067F2D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zh-CN" altLang="zh-CN" sz="16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供应商地区的总销售对比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Sheet1!$M$3:$O$3</c:f>
              <c:strCache>
                <c:ptCount val="3"/>
                <c:pt idx="0">
                  <c:v>China</c:v>
                </c:pt>
                <c:pt idx="1">
                  <c:v>India</c:v>
                </c:pt>
                <c:pt idx="2">
                  <c:v>USA</c:v>
                </c:pt>
              </c:strCache>
            </c:strRef>
          </c:cat>
          <c:val>
            <c:numRef>
              <c:f>Sheet1!$M$4:$O$4</c:f>
              <c:numCache>
                <c:formatCode>General</c:formatCode>
                <c:ptCount val="3"/>
                <c:pt idx="0">
                  <c:v>334603</c:v>
                </c:pt>
                <c:pt idx="1">
                  <c:v>322589</c:v>
                </c:pt>
                <c:pt idx="2">
                  <c:v>398917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8-41BD-A8C0-901634FFB2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604695839"/>
        <c:axId val="1602451375"/>
      </c:barChart>
      <c:catAx>
        <c:axId val="160469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2451375"/>
        <c:crosses val="autoZero"/>
        <c:auto val="1"/>
        <c:lblAlgn val="ctr"/>
        <c:lblOffset val="100"/>
        <c:noMultiLvlLbl val="0"/>
      </c:catAx>
      <c:valAx>
        <c:axId val="1602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469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[高复购商品价格分层  供应商统计.xlsx]Sheet1!数据透视表1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Sheet1!$G$22</c:f>
              <c:strCache>
                <c:ptCount val="1"/>
                <c:pt idx="0">
                  <c:v>汇总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Sheet1!$F$23:$F$223</c:f>
              <c:strCache>
                <c:ptCount val="200"/>
                <c:pt idx="0">
                  <c:v>161</c:v>
                </c:pt>
                <c:pt idx="1">
                  <c:v>132</c:v>
                </c:pt>
                <c:pt idx="2">
                  <c:v>143</c:v>
                </c:pt>
                <c:pt idx="3">
                  <c:v>95</c:v>
                </c:pt>
                <c:pt idx="4">
                  <c:v>146</c:v>
                </c:pt>
                <c:pt idx="5">
                  <c:v>118</c:v>
                </c:pt>
                <c:pt idx="6">
                  <c:v>134</c:v>
                </c:pt>
                <c:pt idx="7">
                  <c:v>156</c:v>
                </c:pt>
                <c:pt idx="8">
                  <c:v>90</c:v>
                </c:pt>
                <c:pt idx="9">
                  <c:v>148</c:v>
                </c:pt>
                <c:pt idx="10">
                  <c:v>110</c:v>
                </c:pt>
                <c:pt idx="11">
                  <c:v>52</c:v>
                </c:pt>
                <c:pt idx="12">
                  <c:v>57</c:v>
                </c:pt>
                <c:pt idx="13">
                  <c:v>85</c:v>
                </c:pt>
                <c:pt idx="14">
                  <c:v>135</c:v>
                </c:pt>
                <c:pt idx="15">
                  <c:v>97</c:v>
                </c:pt>
                <c:pt idx="16">
                  <c:v>88</c:v>
                </c:pt>
                <c:pt idx="17">
                  <c:v>75</c:v>
                </c:pt>
                <c:pt idx="18">
                  <c:v>154</c:v>
                </c:pt>
                <c:pt idx="19">
                  <c:v>23</c:v>
                </c:pt>
                <c:pt idx="20">
                  <c:v>99</c:v>
                </c:pt>
                <c:pt idx="21">
                  <c:v>51</c:v>
                </c:pt>
                <c:pt idx="22">
                  <c:v>7</c:v>
                </c:pt>
                <c:pt idx="23">
                  <c:v>39</c:v>
                </c:pt>
                <c:pt idx="24">
                  <c:v>153</c:v>
                </c:pt>
                <c:pt idx="25">
                  <c:v>2</c:v>
                </c:pt>
                <c:pt idx="26">
                  <c:v>24</c:v>
                </c:pt>
                <c:pt idx="27">
                  <c:v>174</c:v>
                </c:pt>
                <c:pt idx="28">
                  <c:v>33</c:v>
                </c:pt>
                <c:pt idx="29">
                  <c:v>14</c:v>
                </c:pt>
                <c:pt idx="30">
                  <c:v>26</c:v>
                </c:pt>
                <c:pt idx="31">
                  <c:v>47</c:v>
                </c:pt>
                <c:pt idx="32">
                  <c:v>16</c:v>
                </c:pt>
                <c:pt idx="33">
                  <c:v>69</c:v>
                </c:pt>
                <c:pt idx="34">
                  <c:v>117</c:v>
                </c:pt>
                <c:pt idx="35">
                  <c:v>61</c:v>
                </c:pt>
                <c:pt idx="36">
                  <c:v>64</c:v>
                </c:pt>
                <c:pt idx="37">
                  <c:v>160</c:v>
                </c:pt>
                <c:pt idx="38">
                  <c:v>115</c:v>
                </c:pt>
                <c:pt idx="39">
                  <c:v>158</c:v>
                </c:pt>
                <c:pt idx="40">
                  <c:v>32</c:v>
                </c:pt>
                <c:pt idx="41">
                  <c:v>106</c:v>
                </c:pt>
                <c:pt idx="42">
                  <c:v>80</c:v>
                </c:pt>
                <c:pt idx="43">
                  <c:v>87</c:v>
                </c:pt>
                <c:pt idx="44">
                  <c:v>182</c:v>
                </c:pt>
                <c:pt idx="45">
                  <c:v>3</c:v>
                </c:pt>
                <c:pt idx="46">
                  <c:v>178</c:v>
                </c:pt>
                <c:pt idx="47">
                  <c:v>105</c:v>
                </c:pt>
                <c:pt idx="48">
                  <c:v>138</c:v>
                </c:pt>
                <c:pt idx="49">
                  <c:v>184</c:v>
                </c:pt>
                <c:pt idx="50">
                  <c:v>5</c:v>
                </c:pt>
                <c:pt idx="51">
                  <c:v>59</c:v>
                </c:pt>
                <c:pt idx="52">
                  <c:v>71</c:v>
                </c:pt>
                <c:pt idx="53">
                  <c:v>121</c:v>
                </c:pt>
                <c:pt idx="54">
                  <c:v>136</c:v>
                </c:pt>
                <c:pt idx="55">
                  <c:v>63</c:v>
                </c:pt>
                <c:pt idx="56">
                  <c:v>49</c:v>
                </c:pt>
                <c:pt idx="57">
                  <c:v>79</c:v>
                </c:pt>
                <c:pt idx="58">
                  <c:v>123</c:v>
                </c:pt>
                <c:pt idx="59">
                  <c:v>163</c:v>
                </c:pt>
                <c:pt idx="60">
                  <c:v>113</c:v>
                </c:pt>
                <c:pt idx="61">
                  <c:v>98</c:v>
                </c:pt>
                <c:pt idx="62">
                  <c:v>199</c:v>
                </c:pt>
                <c:pt idx="63">
                  <c:v>111</c:v>
                </c:pt>
                <c:pt idx="64">
                  <c:v>67</c:v>
                </c:pt>
                <c:pt idx="65">
                  <c:v>46</c:v>
                </c:pt>
                <c:pt idx="66">
                  <c:v>31</c:v>
                </c:pt>
                <c:pt idx="67">
                  <c:v>187</c:v>
                </c:pt>
                <c:pt idx="68">
                  <c:v>127</c:v>
                </c:pt>
                <c:pt idx="69">
                  <c:v>4</c:v>
                </c:pt>
                <c:pt idx="70">
                  <c:v>152</c:v>
                </c:pt>
                <c:pt idx="71">
                  <c:v>28</c:v>
                </c:pt>
                <c:pt idx="72">
                  <c:v>195</c:v>
                </c:pt>
                <c:pt idx="73">
                  <c:v>169</c:v>
                </c:pt>
                <c:pt idx="74">
                  <c:v>89</c:v>
                </c:pt>
                <c:pt idx="75">
                  <c:v>131</c:v>
                </c:pt>
                <c:pt idx="76">
                  <c:v>50</c:v>
                </c:pt>
                <c:pt idx="77">
                  <c:v>151</c:v>
                </c:pt>
                <c:pt idx="78">
                  <c:v>65</c:v>
                </c:pt>
                <c:pt idx="79">
                  <c:v>12</c:v>
                </c:pt>
                <c:pt idx="80">
                  <c:v>145</c:v>
                </c:pt>
                <c:pt idx="81">
                  <c:v>128</c:v>
                </c:pt>
                <c:pt idx="82">
                  <c:v>10</c:v>
                </c:pt>
                <c:pt idx="83">
                  <c:v>192</c:v>
                </c:pt>
                <c:pt idx="84">
                  <c:v>124</c:v>
                </c:pt>
                <c:pt idx="85">
                  <c:v>186</c:v>
                </c:pt>
                <c:pt idx="86">
                  <c:v>35</c:v>
                </c:pt>
                <c:pt idx="87">
                  <c:v>102</c:v>
                </c:pt>
                <c:pt idx="88">
                  <c:v>66</c:v>
                </c:pt>
                <c:pt idx="89">
                  <c:v>144</c:v>
                </c:pt>
                <c:pt idx="90">
                  <c:v>81</c:v>
                </c:pt>
                <c:pt idx="91">
                  <c:v>173</c:v>
                </c:pt>
                <c:pt idx="92">
                  <c:v>164</c:v>
                </c:pt>
                <c:pt idx="93">
                  <c:v>109</c:v>
                </c:pt>
                <c:pt idx="94">
                  <c:v>104</c:v>
                </c:pt>
                <c:pt idx="95">
                  <c:v>122</c:v>
                </c:pt>
                <c:pt idx="96">
                  <c:v>62</c:v>
                </c:pt>
                <c:pt idx="97">
                  <c:v>37</c:v>
                </c:pt>
                <c:pt idx="98">
                  <c:v>196</c:v>
                </c:pt>
                <c:pt idx="99">
                  <c:v>116</c:v>
                </c:pt>
                <c:pt idx="100">
                  <c:v>94</c:v>
                </c:pt>
                <c:pt idx="101">
                  <c:v>114</c:v>
                </c:pt>
                <c:pt idx="102">
                  <c:v>36</c:v>
                </c:pt>
                <c:pt idx="103">
                  <c:v>25</c:v>
                </c:pt>
                <c:pt idx="104">
                  <c:v>8</c:v>
                </c:pt>
                <c:pt idx="105">
                  <c:v>190</c:v>
                </c:pt>
                <c:pt idx="106">
                  <c:v>147</c:v>
                </c:pt>
                <c:pt idx="107">
                  <c:v>188</c:v>
                </c:pt>
                <c:pt idx="108">
                  <c:v>185</c:v>
                </c:pt>
                <c:pt idx="109">
                  <c:v>139</c:v>
                </c:pt>
                <c:pt idx="110">
                  <c:v>166</c:v>
                </c:pt>
                <c:pt idx="111">
                  <c:v>198</c:v>
                </c:pt>
                <c:pt idx="112">
                  <c:v>179</c:v>
                </c:pt>
                <c:pt idx="113">
                  <c:v>30</c:v>
                </c:pt>
                <c:pt idx="114">
                  <c:v>159</c:v>
                </c:pt>
                <c:pt idx="115">
                  <c:v>100</c:v>
                </c:pt>
                <c:pt idx="116">
                  <c:v>172</c:v>
                </c:pt>
                <c:pt idx="117">
                  <c:v>72</c:v>
                </c:pt>
                <c:pt idx="118">
                  <c:v>84</c:v>
                </c:pt>
                <c:pt idx="119">
                  <c:v>19</c:v>
                </c:pt>
                <c:pt idx="120">
                  <c:v>180</c:v>
                </c:pt>
                <c:pt idx="121">
                  <c:v>194</c:v>
                </c:pt>
                <c:pt idx="122">
                  <c:v>129</c:v>
                </c:pt>
                <c:pt idx="123">
                  <c:v>53</c:v>
                </c:pt>
                <c:pt idx="124">
                  <c:v>78</c:v>
                </c:pt>
                <c:pt idx="125">
                  <c:v>176</c:v>
                </c:pt>
                <c:pt idx="126">
                  <c:v>170</c:v>
                </c:pt>
                <c:pt idx="127">
                  <c:v>40</c:v>
                </c:pt>
                <c:pt idx="128">
                  <c:v>155</c:v>
                </c:pt>
                <c:pt idx="129">
                  <c:v>60</c:v>
                </c:pt>
                <c:pt idx="130">
                  <c:v>101</c:v>
                </c:pt>
                <c:pt idx="131">
                  <c:v>54</c:v>
                </c:pt>
                <c:pt idx="132">
                  <c:v>83</c:v>
                </c:pt>
                <c:pt idx="133">
                  <c:v>162</c:v>
                </c:pt>
                <c:pt idx="134">
                  <c:v>96</c:v>
                </c:pt>
                <c:pt idx="135">
                  <c:v>171</c:v>
                </c:pt>
                <c:pt idx="136">
                  <c:v>56</c:v>
                </c:pt>
                <c:pt idx="137">
                  <c:v>181</c:v>
                </c:pt>
                <c:pt idx="138">
                  <c:v>183</c:v>
                </c:pt>
                <c:pt idx="139">
                  <c:v>177</c:v>
                </c:pt>
                <c:pt idx="140">
                  <c:v>42</c:v>
                </c:pt>
                <c:pt idx="141">
                  <c:v>108</c:v>
                </c:pt>
                <c:pt idx="142">
                  <c:v>73</c:v>
                </c:pt>
                <c:pt idx="143">
                  <c:v>86</c:v>
                </c:pt>
                <c:pt idx="144">
                  <c:v>150</c:v>
                </c:pt>
                <c:pt idx="145">
                  <c:v>6</c:v>
                </c:pt>
                <c:pt idx="146">
                  <c:v>141</c:v>
                </c:pt>
                <c:pt idx="147">
                  <c:v>76</c:v>
                </c:pt>
                <c:pt idx="148">
                  <c:v>15</c:v>
                </c:pt>
                <c:pt idx="149">
                  <c:v>126</c:v>
                </c:pt>
                <c:pt idx="150">
                  <c:v>175</c:v>
                </c:pt>
                <c:pt idx="151">
                  <c:v>34</c:v>
                </c:pt>
                <c:pt idx="152">
                  <c:v>43</c:v>
                </c:pt>
                <c:pt idx="153">
                  <c:v>197</c:v>
                </c:pt>
                <c:pt idx="154">
                  <c:v>200</c:v>
                </c:pt>
                <c:pt idx="155">
                  <c:v>168</c:v>
                </c:pt>
                <c:pt idx="156">
                  <c:v>82</c:v>
                </c:pt>
                <c:pt idx="157">
                  <c:v>112</c:v>
                </c:pt>
                <c:pt idx="158">
                  <c:v>133</c:v>
                </c:pt>
                <c:pt idx="159">
                  <c:v>41</c:v>
                </c:pt>
                <c:pt idx="160">
                  <c:v>165</c:v>
                </c:pt>
                <c:pt idx="161">
                  <c:v>22</c:v>
                </c:pt>
                <c:pt idx="162">
                  <c:v>70</c:v>
                </c:pt>
                <c:pt idx="163">
                  <c:v>55</c:v>
                </c:pt>
                <c:pt idx="164">
                  <c:v>120</c:v>
                </c:pt>
                <c:pt idx="165">
                  <c:v>20</c:v>
                </c:pt>
                <c:pt idx="166">
                  <c:v>140</c:v>
                </c:pt>
                <c:pt idx="167">
                  <c:v>45</c:v>
                </c:pt>
                <c:pt idx="168">
                  <c:v>125</c:v>
                </c:pt>
                <c:pt idx="169">
                  <c:v>119</c:v>
                </c:pt>
                <c:pt idx="170">
                  <c:v>137</c:v>
                </c:pt>
                <c:pt idx="171">
                  <c:v>58</c:v>
                </c:pt>
                <c:pt idx="172">
                  <c:v>13</c:v>
                </c:pt>
                <c:pt idx="173">
                  <c:v>191</c:v>
                </c:pt>
                <c:pt idx="174">
                  <c:v>48</c:v>
                </c:pt>
                <c:pt idx="175">
                  <c:v>44</c:v>
                </c:pt>
                <c:pt idx="176">
                  <c:v>157</c:v>
                </c:pt>
                <c:pt idx="177">
                  <c:v>77</c:v>
                </c:pt>
                <c:pt idx="178">
                  <c:v>17</c:v>
                </c:pt>
                <c:pt idx="179">
                  <c:v>91</c:v>
                </c:pt>
                <c:pt idx="180">
                  <c:v>29</c:v>
                </c:pt>
                <c:pt idx="181">
                  <c:v>93</c:v>
                </c:pt>
                <c:pt idx="182">
                  <c:v>189</c:v>
                </c:pt>
                <c:pt idx="183">
                  <c:v>18</c:v>
                </c:pt>
                <c:pt idx="184">
                  <c:v>92</c:v>
                </c:pt>
                <c:pt idx="185">
                  <c:v>193</c:v>
                </c:pt>
                <c:pt idx="186">
                  <c:v>74</c:v>
                </c:pt>
                <c:pt idx="187">
                  <c:v>38</c:v>
                </c:pt>
                <c:pt idx="188">
                  <c:v>149</c:v>
                </c:pt>
                <c:pt idx="189">
                  <c:v>27</c:v>
                </c:pt>
                <c:pt idx="190">
                  <c:v>107</c:v>
                </c:pt>
                <c:pt idx="191">
                  <c:v>21</c:v>
                </c:pt>
                <c:pt idx="192">
                  <c:v>130</c:v>
                </c:pt>
                <c:pt idx="193">
                  <c:v>167</c:v>
                </c:pt>
                <c:pt idx="194">
                  <c:v>142</c:v>
                </c:pt>
                <c:pt idx="195">
                  <c:v>1</c:v>
                </c:pt>
                <c:pt idx="196">
                  <c:v>9</c:v>
                </c:pt>
                <c:pt idx="197">
                  <c:v>103</c:v>
                </c:pt>
                <c:pt idx="198">
                  <c:v>11</c:v>
                </c:pt>
                <c:pt idx="199">
                  <c:v>68</c:v>
                </c:pt>
              </c:strCache>
            </c:strRef>
          </c:cat>
          <c:val>
            <c:numRef>
              <c:f>Sheet1!$G$23:$G$223</c:f>
              <c:numCache>
                <c:formatCode>General</c:formatCode>
                <c:ptCount val="200"/>
                <c:pt idx="0">
                  <c:v>3375</c:v>
                </c:pt>
                <c:pt idx="1">
                  <c:v>3628</c:v>
                </c:pt>
                <c:pt idx="2">
                  <c:v>3635</c:v>
                </c:pt>
                <c:pt idx="3">
                  <c:v>3695</c:v>
                </c:pt>
                <c:pt idx="4">
                  <c:v>3756</c:v>
                </c:pt>
                <c:pt idx="5">
                  <c:v>3860</c:v>
                </c:pt>
                <c:pt idx="6">
                  <c:v>4023</c:v>
                </c:pt>
                <c:pt idx="7">
                  <c:v>4053</c:v>
                </c:pt>
                <c:pt idx="8">
                  <c:v>4095</c:v>
                </c:pt>
                <c:pt idx="9">
                  <c:v>4111</c:v>
                </c:pt>
                <c:pt idx="10">
                  <c:v>4134</c:v>
                </c:pt>
                <c:pt idx="11">
                  <c:v>4152</c:v>
                </c:pt>
                <c:pt idx="12">
                  <c:v>4215</c:v>
                </c:pt>
                <c:pt idx="13">
                  <c:v>4218</c:v>
                </c:pt>
                <c:pt idx="14">
                  <c:v>4222</c:v>
                </c:pt>
                <c:pt idx="15">
                  <c:v>4259</c:v>
                </c:pt>
                <c:pt idx="16">
                  <c:v>4267</c:v>
                </c:pt>
                <c:pt idx="17">
                  <c:v>4269</c:v>
                </c:pt>
                <c:pt idx="18">
                  <c:v>4327</c:v>
                </c:pt>
                <c:pt idx="19">
                  <c:v>4346</c:v>
                </c:pt>
                <c:pt idx="20">
                  <c:v>4352</c:v>
                </c:pt>
                <c:pt idx="21">
                  <c:v>4391</c:v>
                </c:pt>
                <c:pt idx="22">
                  <c:v>4393</c:v>
                </c:pt>
                <c:pt idx="23">
                  <c:v>4396</c:v>
                </c:pt>
                <c:pt idx="24">
                  <c:v>4406</c:v>
                </c:pt>
                <c:pt idx="25">
                  <c:v>4418</c:v>
                </c:pt>
                <c:pt idx="26">
                  <c:v>4447</c:v>
                </c:pt>
                <c:pt idx="27">
                  <c:v>4459</c:v>
                </c:pt>
                <c:pt idx="28">
                  <c:v>4473</c:v>
                </c:pt>
                <c:pt idx="29">
                  <c:v>4486</c:v>
                </c:pt>
                <c:pt idx="30">
                  <c:v>4492</c:v>
                </c:pt>
                <c:pt idx="31">
                  <c:v>4505</c:v>
                </c:pt>
                <c:pt idx="32">
                  <c:v>4523</c:v>
                </c:pt>
                <c:pt idx="33">
                  <c:v>4551</c:v>
                </c:pt>
                <c:pt idx="34">
                  <c:v>4598</c:v>
                </c:pt>
                <c:pt idx="35">
                  <c:v>4637</c:v>
                </c:pt>
                <c:pt idx="36">
                  <c:v>4645</c:v>
                </c:pt>
                <c:pt idx="37">
                  <c:v>4656</c:v>
                </c:pt>
                <c:pt idx="38">
                  <c:v>4659</c:v>
                </c:pt>
                <c:pt idx="39">
                  <c:v>4663</c:v>
                </c:pt>
                <c:pt idx="40">
                  <c:v>4672</c:v>
                </c:pt>
                <c:pt idx="41">
                  <c:v>4674</c:v>
                </c:pt>
                <c:pt idx="42">
                  <c:v>4682</c:v>
                </c:pt>
                <c:pt idx="43">
                  <c:v>4701</c:v>
                </c:pt>
                <c:pt idx="44">
                  <c:v>4712</c:v>
                </c:pt>
                <c:pt idx="45">
                  <c:v>4712</c:v>
                </c:pt>
                <c:pt idx="46">
                  <c:v>4716</c:v>
                </c:pt>
                <c:pt idx="47">
                  <c:v>4723</c:v>
                </c:pt>
                <c:pt idx="48">
                  <c:v>4727</c:v>
                </c:pt>
                <c:pt idx="49">
                  <c:v>4736</c:v>
                </c:pt>
                <c:pt idx="50">
                  <c:v>4736</c:v>
                </c:pt>
                <c:pt idx="51">
                  <c:v>4745</c:v>
                </c:pt>
                <c:pt idx="52">
                  <c:v>4777</c:v>
                </c:pt>
                <c:pt idx="53">
                  <c:v>4783</c:v>
                </c:pt>
                <c:pt idx="54">
                  <c:v>4805</c:v>
                </c:pt>
                <c:pt idx="55">
                  <c:v>4822</c:v>
                </c:pt>
                <c:pt idx="56">
                  <c:v>4834</c:v>
                </c:pt>
                <c:pt idx="57">
                  <c:v>4843</c:v>
                </c:pt>
                <c:pt idx="58">
                  <c:v>4847</c:v>
                </c:pt>
                <c:pt idx="59">
                  <c:v>4867</c:v>
                </c:pt>
                <c:pt idx="60">
                  <c:v>4875</c:v>
                </c:pt>
                <c:pt idx="61">
                  <c:v>4877</c:v>
                </c:pt>
                <c:pt idx="62">
                  <c:v>4882</c:v>
                </c:pt>
                <c:pt idx="63">
                  <c:v>4913</c:v>
                </c:pt>
                <c:pt idx="64">
                  <c:v>4916</c:v>
                </c:pt>
                <c:pt idx="65">
                  <c:v>4935</c:v>
                </c:pt>
                <c:pt idx="66">
                  <c:v>4949</c:v>
                </c:pt>
                <c:pt idx="67">
                  <c:v>4950</c:v>
                </c:pt>
                <c:pt idx="68">
                  <c:v>4955</c:v>
                </c:pt>
                <c:pt idx="69">
                  <c:v>4967</c:v>
                </c:pt>
                <c:pt idx="70">
                  <c:v>4976</c:v>
                </c:pt>
                <c:pt idx="71">
                  <c:v>4977</c:v>
                </c:pt>
                <c:pt idx="72">
                  <c:v>4986</c:v>
                </c:pt>
                <c:pt idx="73">
                  <c:v>4993</c:v>
                </c:pt>
                <c:pt idx="74">
                  <c:v>4996</c:v>
                </c:pt>
                <c:pt idx="75">
                  <c:v>5007</c:v>
                </c:pt>
                <c:pt idx="76">
                  <c:v>5036</c:v>
                </c:pt>
                <c:pt idx="77">
                  <c:v>5040</c:v>
                </c:pt>
                <c:pt idx="78">
                  <c:v>5058</c:v>
                </c:pt>
                <c:pt idx="79">
                  <c:v>5062</c:v>
                </c:pt>
                <c:pt idx="80">
                  <c:v>5073</c:v>
                </c:pt>
                <c:pt idx="81">
                  <c:v>5074</c:v>
                </c:pt>
                <c:pt idx="82">
                  <c:v>5079</c:v>
                </c:pt>
                <c:pt idx="83">
                  <c:v>5091</c:v>
                </c:pt>
                <c:pt idx="84">
                  <c:v>5094</c:v>
                </c:pt>
                <c:pt idx="85">
                  <c:v>5108</c:v>
                </c:pt>
                <c:pt idx="86">
                  <c:v>5150</c:v>
                </c:pt>
                <c:pt idx="87">
                  <c:v>5156</c:v>
                </c:pt>
                <c:pt idx="88">
                  <c:v>5171</c:v>
                </c:pt>
                <c:pt idx="89">
                  <c:v>5176</c:v>
                </c:pt>
                <c:pt idx="90">
                  <c:v>5180</c:v>
                </c:pt>
                <c:pt idx="91">
                  <c:v>5187</c:v>
                </c:pt>
                <c:pt idx="92">
                  <c:v>5189</c:v>
                </c:pt>
                <c:pt idx="93">
                  <c:v>5204</c:v>
                </c:pt>
                <c:pt idx="94">
                  <c:v>5204</c:v>
                </c:pt>
                <c:pt idx="95">
                  <c:v>5211</c:v>
                </c:pt>
                <c:pt idx="96">
                  <c:v>5212</c:v>
                </c:pt>
                <c:pt idx="97">
                  <c:v>5212</c:v>
                </c:pt>
                <c:pt idx="98">
                  <c:v>5213</c:v>
                </c:pt>
                <c:pt idx="99">
                  <c:v>5227</c:v>
                </c:pt>
                <c:pt idx="100">
                  <c:v>5229</c:v>
                </c:pt>
                <c:pt idx="101">
                  <c:v>5236</c:v>
                </c:pt>
                <c:pt idx="102">
                  <c:v>5237</c:v>
                </c:pt>
                <c:pt idx="103">
                  <c:v>5248</c:v>
                </c:pt>
                <c:pt idx="104">
                  <c:v>5252</c:v>
                </c:pt>
                <c:pt idx="105">
                  <c:v>5253</c:v>
                </c:pt>
                <c:pt idx="106">
                  <c:v>5263</c:v>
                </c:pt>
                <c:pt idx="107">
                  <c:v>5272</c:v>
                </c:pt>
                <c:pt idx="108">
                  <c:v>5282</c:v>
                </c:pt>
                <c:pt idx="109">
                  <c:v>5282</c:v>
                </c:pt>
                <c:pt idx="110">
                  <c:v>5286</c:v>
                </c:pt>
                <c:pt idx="111">
                  <c:v>5287</c:v>
                </c:pt>
                <c:pt idx="112">
                  <c:v>5289</c:v>
                </c:pt>
                <c:pt idx="113">
                  <c:v>5302</c:v>
                </c:pt>
                <c:pt idx="114">
                  <c:v>5335</c:v>
                </c:pt>
                <c:pt idx="115">
                  <c:v>5339</c:v>
                </c:pt>
                <c:pt idx="116">
                  <c:v>5348</c:v>
                </c:pt>
                <c:pt idx="117">
                  <c:v>5348</c:v>
                </c:pt>
                <c:pt idx="118">
                  <c:v>5351</c:v>
                </c:pt>
                <c:pt idx="119">
                  <c:v>5355</c:v>
                </c:pt>
                <c:pt idx="120">
                  <c:v>5367</c:v>
                </c:pt>
                <c:pt idx="121">
                  <c:v>5368</c:v>
                </c:pt>
                <c:pt idx="122">
                  <c:v>5400</c:v>
                </c:pt>
                <c:pt idx="123">
                  <c:v>5444</c:v>
                </c:pt>
                <c:pt idx="124">
                  <c:v>5471</c:v>
                </c:pt>
                <c:pt idx="125">
                  <c:v>5477</c:v>
                </c:pt>
                <c:pt idx="126">
                  <c:v>5479</c:v>
                </c:pt>
                <c:pt idx="127">
                  <c:v>5479</c:v>
                </c:pt>
                <c:pt idx="128">
                  <c:v>5498</c:v>
                </c:pt>
                <c:pt idx="129">
                  <c:v>5523</c:v>
                </c:pt>
                <c:pt idx="130">
                  <c:v>5523</c:v>
                </c:pt>
                <c:pt idx="131">
                  <c:v>5529</c:v>
                </c:pt>
                <c:pt idx="132">
                  <c:v>5531</c:v>
                </c:pt>
                <c:pt idx="133">
                  <c:v>5541</c:v>
                </c:pt>
                <c:pt idx="134">
                  <c:v>5564</c:v>
                </c:pt>
                <c:pt idx="135">
                  <c:v>5569</c:v>
                </c:pt>
                <c:pt idx="136">
                  <c:v>5574</c:v>
                </c:pt>
                <c:pt idx="137">
                  <c:v>5588</c:v>
                </c:pt>
                <c:pt idx="138">
                  <c:v>5616</c:v>
                </c:pt>
                <c:pt idx="139">
                  <c:v>5634</c:v>
                </c:pt>
                <c:pt idx="140">
                  <c:v>5654</c:v>
                </c:pt>
                <c:pt idx="141">
                  <c:v>5654</c:v>
                </c:pt>
                <c:pt idx="142">
                  <c:v>5660</c:v>
                </c:pt>
                <c:pt idx="143">
                  <c:v>5695</c:v>
                </c:pt>
                <c:pt idx="144">
                  <c:v>5696</c:v>
                </c:pt>
                <c:pt idx="145">
                  <c:v>5699</c:v>
                </c:pt>
                <c:pt idx="146">
                  <c:v>5717</c:v>
                </c:pt>
                <c:pt idx="147">
                  <c:v>5737</c:v>
                </c:pt>
                <c:pt idx="148">
                  <c:v>5745</c:v>
                </c:pt>
                <c:pt idx="149">
                  <c:v>5769</c:v>
                </c:pt>
                <c:pt idx="150">
                  <c:v>5786</c:v>
                </c:pt>
                <c:pt idx="151">
                  <c:v>5799</c:v>
                </c:pt>
                <c:pt idx="152">
                  <c:v>5810</c:v>
                </c:pt>
                <c:pt idx="153">
                  <c:v>5852</c:v>
                </c:pt>
                <c:pt idx="154">
                  <c:v>5869</c:v>
                </c:pt>
                <c:pt idx="155">
                  <c:v>5881</c:v>
                </c:pt>
                <c:pt idx="156">
                  <c:v>5886</c:v>
                </c:pt>
                <c:pt idx="157">
                  <c:v>5894</c:v>
                </c:pt>
                <c:pt idx="158">
                  <c:v>5921</c:v>
                </c:pt>
                <c:pt idx="159">
                  <c:v>5933</c:v>
                </c:pt>
                <c:pt idx="160">
                  <c:v>5980</c:v>
                </c:pt>
                <c:pt idx="161">
                  <c:v>6022</c:v>
                </c:pt>
                <c:pt idx="162">
                  <c:v>6025</c:v>
                </c:pt>
                <c:pt idx="163">
                  <c:v>6031</c:v>
                </c:pt>
                <c:pt idx="164">
                  <c:v>6059</c:v>
                </c:pt>
                <c:pt idx="165">
                  <c:v>6071</c:v>
                </c:pt>
                <c:pt idx="166">
                  <c:v>6074</c:v>
                </c:pt>
                <c:pt idx="167">
                  <c:v>6082</c:v>
                </c:pt>
                <c:pt idx="168">
                  <c:v>6090</c:v>
                </c:pt>
                <c:pt idx="169">
                  <c:v>6126</c:v>
                </c:pt>
                <c:pt idx="170">
                  <c:v>6127</c:v>
                </c:pt>
                <c:pt idx="171">
                  <c:v>6128</c:v>
                </c:pt>
                <c:pt idx="172">
                  <c:v>6141</c:v>
                </c:pt>
                <c:pt idx="173">
                  <c:v>6159</c:v>
                </c:pt>
                <c:pt idx="174">
                  <c:v>6171</c:v>
                </c:pt>
                <c:pt idx="175">
                  <c:v>6178</c:v>
                </c:pt>
                <c:pt idx="176">
                  <c:v>6187</c:v>
                </c:pt>
                <c:pt idx="177">
                  <c:v>6212</c:v>
                </c:pt>
                <c:pt idx="178">
                  <c:v>6249</c:v>
                </c:pt>
                <c:pt idx="179">
                  <c:v>6290</c:v>
                </c:pt>
                <c:pt idx="180">
                  <c:v>6291</c:v>
                </c:pt>
                <c:pt idx="181">
                  <c:v>6299</c:v>
                </c:pt>
                <c:pt idx="182">
                  <c:v>6309</c:v>
                </c:pt>
                <c:pt idx="183">
                  <c:v>6333</c:v>
                </c:pt>
                <c:pt idx="184">
                  <c:v>6432</c:v>
                </c:pt>
                <c:pt idx="185">
                  <c:v>6527</c:v>
                </c:pt>
                <c:pt idx="186">
                  <c:v>6528</c:v>
                </c:pt>
                <c:pt idx="187">
                  <c:v>6533</c:v>
                </c:pt>
                <c:pt idx="188">
                  <c:v>6566</c:v>
                </c:pt>
                <c:pt idx="189">
                  <c:v>6582</c:v>
                </c:pt>
                <c:pt idx="190">
                  <c:v>6604</c:v>
                </c:pt>
                <c:pt idx="191">
                  <c:v>6649</c:v>
                </c:pt>
                <c:pt idx="192">
                  <c:v>6651</c:v>
                </c:pt>
                <c:pt idx="193">
                  <c:v>6804</c:v>
                </c:pt>
                <c:pt idx="194">
                  <c:v>6818</c:v>
                </c:pt>
                <c:pt idx="195">
                  <c:v>7034</c:v>
                </c:pt>
                <c:pt idx="196">
                  <c:v>7087</c:v>
                </c:pt>
                <c:pt idx="197">
                  <c:v>7105</c:v>
                </c:pt>
                <c:pt idx="198">
                  <c:v>7214</c:v>
                </c:pt>
                <c:pt idx="199">
                  <c:v>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5-4CCD-8D33-2116AD5968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675556159"/>
        <c:axId val="1675550399"/>
      </c:barChart>
      <c:catAx>
        <c:axId val="1675556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5550399"/>
        <c:crosses val="autoZero"/>
        <c:auto val="1"/>
        <c:lblAlgn val="ctr"/>
        <c:lblOffset val="100"/>
        <c:noMultiLvlLbl val="0"/>
      </c:catAx>
      <c:valAx>
        <c:axId val="167555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5556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850660</xdr:colOff>
      <xdr:row>4</xdr:row>
      <xdr:rowOff>60325</xdr:rowOff>
    </xdr:from>
    <xdr:to>
      <xdr:col>10</xdr:col>
      <xdr:colOff>215662</xdr:colOff>
      <xdr:row>18</xdr:row>
      <xdr:rowOff>59906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5699C7E-C993-DD38-C6F2-24CB4F6978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21798</xdr:colOff>
      <xdr:row>4</xdr:row>
      <xdr:rowOff>154295</xdr:rowOff>
    </xdr:from>
    <xdr:to>
      <xdr:col>19</xdr:col>
      <xdr:colOff>347828</xdr:colOff>
      <xdr:row>20</xdr:row>
      <xdr:rowOff>16301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6F12312-F3B4-5C4E-2271-A03DBC557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8387</xdr:colOff>
      <xdr:row>22</xdr:row>
      <xdr:rowOff>6227</xdr:rowOff>
    </xdr:from>
    <xdr:to>
      <xdr:col>36</xdr:col>
      <xdr:colOff>203678</xdr:colOff>
      <xdr:row>251</xdr:row>
      <xdr:rowOff>131792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EA7D206E-6FF6-CC3C-1275-7D550E6E5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12LUFE" refreshedDate="46182.373554745369" createdVersion="8" refreshedVersion="8" minRefreshableVersion="3" recordCount="320" xr:uid="{AEEB2866-D899-4593-BD9D-FBAE91CB6F1E}">
  <cacheSource type="worksheet">
    <worksheetSource ref="A1:D321" sheet="Sheet1"/>
  </cacheSource>
  <cacheFields count="4">
    <cacheField name="price_level" numFmtId="0">
      <sharedItems count="2">
        <s v="高价&gt;200"/>
        <s v="中端50~200"/>
      </sharedItems>
    </cacheField>
    <cacheField name="supplier_id" numFmtId="0">
      <sharedItems count="200">
        <s v="68"/>
        <s v="9"/>
        <s v="103"/>
        <s v="1"/>
        <s v="11"/>
        <s v="142"/>
        <s v="130"/>
        <s v="21"/>
        <s v="167"/>
        <s v="107"/>
        <s v="27"/>
        <s v="149"/>
        <s v="38"/>
        <s v="193"/>
        <s v="74"/>
        <s v="189"/>
        <s v="18"/>
        <s v="92"/>
        <s v="93"/>
        <s v="91"/>
        <s v="77"/>
        <s v="191"/>
        <s v="29"/>
        <s v="20"/>
        <s v="157"/>
        <s v="44"/>
        <s v="13"/>
        <s v="120"/>
        <s v="17"/>
        <s v="137"/>
        <s v="41"/>
        <s v="70"/>
        <s v="55"/>
        <s v="58"/>
        <s v="140"/>
        <s v="168"/>
        <s v="165"/>
        <s v="200"/>
        <s v="45"/>
        <s v="48"/>
        <s v="119"/>
        <s v="133"/>
        <s v="125"/>
        <s v="43"/>
        <s v="22"/>
        <s v="197"/>
        <s v="15"/>
        <s v="86"/>
        <s v="112"/>
        <s v="126"/>
        <s v="108"/>
        <s v="34"/>
        <s v="82"/>
        <s v="141"/>
        <s v="73"/>
        <s v="150"/>
        <s v="175"/>
        <s v="76"/>
        <s v="162"/>
        <s v="177"/>
        <s v="42"/>
        <s v="101"/>
        <s v="60"/>
        <s v="155"/>
        <s v="170"/>
        <s v="40"/>
        <s v="176"/>
        <s v="96"/>
        <s v="53"/>
        <s v="171"/>
        <s v="83"/>
        <s v="6"/>
        <s v="56"/>
        <s v="84"/>
        <s v="183"/>
        <s v="181"/>
        <s v="30"/>
        <s v="54"/>
        <s v="198"/>
        <s v="139"/>
        <s v="188"/>
        <s v="72"/>
        <s v="190"/>
        <s v="8"/>
        <s v="78"/>
        <s v="36"/>
        <s v="19"/>
        <s v="159"/>
        <s v="196"/>
        <s v="37"/>
        <s v="62"/>
        <s v="166"/>
        <s v="180"/>
        <s v="194"/>
        <s v="104"/>
        <s v="109"/>
        <s v="129"/>
        <s v="81"/>
        <s v="144"/>
        <s v="147"/>
        <s v="179"/>
        <s v="185"/>
        <s v="172"/>
        <s v="114"/>
        <s v="94"/>
        <s v="186"/>
        <s v="173"/>
        <s v="128"/>
        <s v="145"/>
        <s v="65"/>
        <s v="35"/>
        <s v="25"/>
        <s v="151"/>
        <s v="50"/>
        <s v="122"/>
        <s v="169"/>
        <s v="195"/>
        <s v="102"/>
        <s v="152"/>
        <s v="124"/>
        <s v="4"/>
        <s v="66"/>
        <s v="116"/>
        <s v="67"/>
        <s v="111"/>
        <s v="131"/>
        <s v="89"/>
        <s v="199"/>
        <s v="100"/>
        <s v="10"/>
        <s v="192"/>
        <s v="187"/>
        <s v="164"/>
        <s v="28"/>
        <s v="12"/>
        <s v="127"/>
        <s v="49"/>
        <s v="31"/>
        <s v="46"/>
        <s v="121"/>
        <s v="98"/>
        <s v="59"/>
        <s v="184"/>
        <s v="182"/>
        <s v="3"/>
        <s v="123"/>
        <s v="136"/>
        <s v="80"/>
        <s v="106"/>
        <s v="160"/>
        <s v="5"/>
        <s v="178"/>
        <s v="138"/>
        <s v="117"/>
        <s v="63"/>
        <s v="87"/>
        <s v="32"/>
        <s v="113"/>
        <s v="69"/>
        <s v="158"/>
        <s v="163"/>
        <s v="16"/>
        <s v="47"/>
        <s v="115"/>
        <s v="14"/>
        <s v="24"/>
        <s v="64"/>
        <s v="2"/>
        <s v="61"/>
        <s v="39"/>
        <s v="51"/>
        <s v="105"/>
        <s v="26"/>
        <s v="71"/>
        <s v="79"/>
        <s v="88"/>
        <s v="174"/>
        <s v="97"/>
        <s v="99"/>
        <s v="23"/>
        <s v="154"/>
        <s v="135"/>
        <s v="57"/>
        <s v="153"/>
        <s v="7"/>
        <s v="75"/>
        <s v="33"/>
        <s v="90"/>
        <s v="110"/>
        <s v="148"/>
        <s v="52"/>
        <s v="134"/>
        <s v="85"/>
        <s v="118"/>
        <s v="146"/>
        <s v="156"/>
        <s v="95"/>
        <s v="143"/>
        <s v="132"/>
        <s v="161"/>
      </sharedItems>
    </cacheField>
    <cacheField name="country" numFmtId="0">
      <sharedItems count="3">
        <s v="China"/>
        <s v="USA"/>
        <s v="India"/>
      </sharedItems>
    </cacheField>
    <cacheField name="total_buy_qty" numFmtId="0">
      <sharedItems containsSemiMixedTypes="0" containsString="0" containsNumber="1" containsInteger="1" minValue="65" maxValue="7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0">
  <r>
    <x v="0"/>
    <x v="0"/>
    <x v="0"/>
    <n v="7250"/>
  </r>
  <r>
    <x v="0"/>
    <x v="1"/>
    <x v="1"/>
    <n v="7087"/>
  </r>
  <r>
    <x v="0"/>
    <x v="2"/>
    <x v="1"/>
    <n v="7036"/>
  </r>
  <r>
    <x v="0"/>
    <x v="3"/>
    <x v="2"/>
    <n v="6949"/>
  </r>
  <r>
    <x v="0"/>
    <x v="4"/>
    <x v="0"/>
    <n v="6803"/>
  </r>
  <r>
    <x v="0"/>
    <x v="5"/>
    <x v="1"/>
    <n v="6749"/>
  </r>
  <r>
    <x v="0"/>
    <x v="6"/>
    <x v="1"/>
    <n v="6651"/>
  </r>
  <r>
    <x v="0"/>
    <x v="7"/>
    <x v="2"/>
    <n v="6649"/>
  </r>
  <r>
    <x v="0"/>
    <x v="8"/>
    <x v="0"/>
    <n v="6633"/>
  </r>
  <r>
    <x v="0"/>
    <x v="9"/>
    <x v="0"/>
    <n v="6604"/>
  </r>
  <r>
    <x v="0"/>
    <x v="10"/>
    <x v="0"/>
    <n v="6582"/>
  </r>
  <r>
    <x v="0"/>
    <x v="11"/>
    <x v="0"/>
    <n v="6566"/>
  </r>
  <r>
    <x v="0"/>
    <x v="12"/>
    <x v="0"/>
    <n v="6533"/>
  </r>
  <r>
    <x v="0"/>
    <x v="13"/>
    <x v="0"/>
    <n v="6432"/>
  </r>
  <r>
    <x v="0"/>
    <x v="14"/>
    <x v="1"/>
    <n v="6383"/>
  </r>
  <r>
    <x v="0"/>
    <x v="15"/>
    <x v="1"/>
    <n v="6309"/>
  </r>
  <r>
    <x v="0"/>
    <x v="16"/>
    <x v="1"/>
    <n v="6251"/>
  </r>
  <r>
    <x v="0"/>
    <x v="17"/>
    <x v="1"/>
    <n v="6242"/>
  </r>
  <r>
    <x v="0"/>
    <x v="18"/>
    <x v="1"/>
    <n v="6200"/>
  </r>
  <r>
    <x v="0"/>
    <x v="19"/>
    <x v="2"/>
    <n v="6198"/>
  </r>
  <r>
    <x v="0"/>
    <x v="20"/>
    <x v="2"/>
    <n v="6104"/>
  </r>
  <r>
    <x v="0"/>
    <x v="21"/>
    <x v="0"/>
    <n v="6061"/>
  </r>
  <r>
    <x v="0"/>
    <x v="22"/>
    <x v="2"/>
    <n v="5995"/>
  </r>
  <r>
    <x v="0"/>
    <x v="23"/>
    <x v="2"/>
    <n v="5993"/>
  </r>
  <r>
    <x v="0"/>
    <x v="24"/>
    <x v="1"/>
    <n v="5976"/>
  </r>
  <r>
    <x v="0"/>
    <x v="25"/>
    <x v="0"/>
    <n v="5972"/>
  </r>
  <r>
    <x v="0"/>
    <x v="26"/>
    <x v="1"/>
    <n v="5968"/>
  </r>
  <r>
    <x v="0"/>
    <x v="27"/>
    <x v="1"/>
    <n v="5965"/>
  </r>
  <r>
    <x v="0"/>
    <x v="28"/>
    <x v="2"/>
    <n v="5946"/>
  </r>
  <r>
    <x v="0"/>
    <x v="29"/>
    <x v="1"/>
    <n v="5936"/>
  </r>
  <r>
    <x v="0"/>
    <x v="30"/>
    <x v="2"/>
    <n v="5933"/>
  </r>
  <r>
    <x v="0"/>
    <x v="31"/>
    <x v="2"/>
    <n v="5921"/>
  </r>
  <r>
    <x v="0"/>
    <x v="32"/>
    <x v="1"/>
    <n v="5915"/>
  </r>
  <r>
    <x v="0"/>
    <x v="33"/>
    <x v="2"/>
    <n v="5904"/>
  </r>
  <r>
    <x v="0"/>
    <x v="34"/>
    <x v="2"/>
    <n v="5892"/>
  </r>
  <r>
    <x v="0"/>
    <x v="35"/>
    <x v="0"/>
    <n v="5881"/>
  </r>
  <r>
    <x v="0"/>
    <x v="36"/>
    <x v="1"/>
    <n v="5875"/>
  </r>
  <r>
    <x v="0"/>
    <x v="37"/>
    <x v="2"/>
    <n v="5869"/>
  </r>
  <r>
    <x v="0"/>
    <x v="38"/>
    <x v="2"/>
    <n v="5867"/>
  </r>
  <r>
    <x v="0"/>
    <x v="39"/>
    <x v="0"/>
    <n v="5863"/>
  </r>
  <r>
    <x v="0"/>
    <x v="40"/>
    <x v="0"/>
    <n v="5842"/>
  </r>
  <r>
    <x v="0"/>
    <x v="41"/>
    <x v="2"/>
    <n v="5838"/>
  </r>
  <r>
    <x v="0"/>
    <x v="42"/>
    <x v="0"/>
    <n v="5821"/>
  </r>
  <r>
    <x v="0"/>
    <x v="43"/>
    <x v="1"/>
    <n v="5810"/>
  </r>
  <r>
    <x v="0"/>
    <x v="44"/>
    <x v="2"/>
    <n v="5798"/>
  </r>
  <r>
    <x v="0"/>
    <x v="45"/>
    <x v="1"/>
    <n v="5754"/>
  </r>
  <r>
    <x v="0"/>
    <x v="46"/>
    <x v="0"/>
    <n v="5745"/>
  </r>
  <r>
    <x v="0"/>
    <x v="47"/>
    <x v="1"/>
    <n v="5695"/>
  </r>
  <r>
    <x v="0"/>
    <x v="48"/>
    <x v="0"/>
    <n v="5692"/>
  </r>
  <r>
    <x v="0"/>
    <x v="49"/>
    <x v="1"/>
    <n v="5672"/>
  </r>
  <r>
    <x v="0"/>
    <x v="50"/>
    <x v="1"/>
    <n v="5654"/>
  </r>
  <r>
    <x v="0"/>
    <x v="51"/>
    <x v="2"/>
    <n v="5618"/>
  </r>
  <r>
    <x v="0"/>
    <x v="52"/>
    <x v="1"/>
    <n v="5612"/>
  </r>
  <r>
    <x v="0"/>
    <x v="53"/>
    <x v="0"/>
    <n v="5611"/>
  </r>
  <r>
    <x v="0"/>
    <x v="54"/>
    <x v="0"/>
    <n v="5579"/>
  </r>
  <r>
    <x v="0"/>
    <x v="55"/>
    <x v="1"/>
    <n v="5566"/>
  </r>
  <r>
    <x v="0"/>
    <x v="56"/>
    <x v="2"/>
    <n v="5562"/>
  </r>
  <r>
    <x v="0"/>
    <x v="57"/>
    <x v="1"/>
    <n v="5544"/>
  </r>
  <r>
    <x v="0"/>
    <x v="58"/>
    <x v="0"/>
    <n v="5541"/>
  </r>
  <r>
    <x v="0"/>
    <x v="59"/>
    <x v="1"/>
    <n v="5538"/>
  </r>
  <r>
    <x v="0"/>
    <x v="60"/>
    <x v="0"/>
    <n v="5531"/>
  </r>
  <r>
    <x v="0"/>
    <x v="61"/>
    <x v="1"/>
    <n v="5523"/>
  </r>
  <r>
    <x v="0"/>
    <x v="62"/>
    <x v="1"/>
    <n v="5523"/>
  </r>
  <r>
    <x v="0"/>
    <x v="63"/>
    <x v="2"/>
    <n v="5498"/>
  </r>
  <r>
    <x v="0"/>
    <x v="64"/>
    <x v="1"/>
    <n v="5479"/>
  </r>
  <r>
    <x v="0"/>
    <x v="65"/>
    <x v="1"/>
    <n v="5479"/>
  </r>
  <r>
    <x v="0"/>
    <x v="66"/>
    <x v="2"/>
    <n v="5477"/>
  </r>
  <r>
    <x v="0"/>
    <x v="67"/>
    <x v="1"/>
    <n v="5466"/>
  </r>
  <r>
    <x v="0"/>
    <x v="68"/>
    <x v="1"/>
    <n v="5444"/>
  </r>
  <r>
    <x v="0"/>
    <x v="69"/>
    <x v="0"/>
    <n v="5439"/>
  </r>
  <r>
    <x v="0"/>
    <x v="70"/>
    <x v="0"/>
    <n v="5425"/>
  </r>
  <r>
    <x v="0"/>
    <x v="71"/>
    <x v="2"/>
    <n v="5416"/>
  </r>
  <r>
    <x v="0"/>
    <x v="72"/>
    <x v="2"/>
    <n v="5381"/>
  </r>
  <r>
    <x v="0"/>
    <x v="73"/>
    <x v="0"/>
    <n v="5351"/>
  </r>
  <r>
    <x v="0"/>
    <x v="74"/>
    <x v="1"/>
    <n v="5344"/>
  </r>
  <r>
    <x v="0"/>
    <x v="75"/>
    <x v="2"/>
    <n v="5339"/>
  </r>
  <r>
    <x v="0"/>
    <x v="76"/>
    <x v="2"/>
    <n v="5302"/>
  </r>
  <r>
    <x v="0"/>
    <x v="77"/>
    <x v="1"/>
    <n v="5291"/>
  </r>
  <r>
    <x v="0"/>
    <x v="78"/>
    <x v="0"/>
    <n v="5287"/>
  </r>
  <r>
    <x v="0"/>
    <x v="79"/>
    <x v="0"/>
    <n v="5282"/>
  </r>
  <r>
    <x v="0"/>
    <x v="80"/>
    <x v="0"/>
    <n v="5272"/>
  </r>
  <r>
    <x v="0"/>
    <x v="81"/>
    <x v="0"/>
    <n v="5259"/>
  </r>
  <r>
    <x v="0"/>
    <x v="82"/>
    <x v="0"/>
    <n v="5253"/>
  </r>
  <r>
    <x v="0"/>
    <x v="83"/>
    <x v="1"/>
    <n v="5252"/>
  </r>
  <r>
    <x v="0"/>
    <x v="84"/>
    <x v="2"/>
    <n v="5241"/>
  </r>
  <r>
    <x v="0"/>
    <x v="85"/>
    <x v="2"/>
    <n v="5237"/>
  </r>
  <r>
    <x v="0"/>
    <x v="86"/>
    <x v="2"/>
    <n v="5232"/>
  </r>
  <r>
    <x v="0"/>
    <x v="87"/>
    <x v="2"/>
    <n v="5224"/>
  </r>
  <r>
    <x v="0"/>
    <x v="88"/>
    <x v="2"/>
    <n v="5213"/>
  </r>
  <r>
    <x v="0"/>
    <x v="89"/>
    <x v="0"/>
    <n v="5212"/>
  </r>
  <r>
    <x v="0"/>
    <x v="90"/>
    <x v="1"/>
    <n v="5212"/>
  </r>
  <r>
    <x v="0"/>
    <x v="91"/>
    <x v="1"/>
    <n v="5211"/>
  </r>
  <r>
    <x v="0"/>
    <x v="92"/>
    <x v="1"/>
    <n v="5211"/>
  </r>
  <r>
    <x v="0"/>
    <x v="93"/>
    <x v="0"/>
    <n v="5211"/>
  </r>
  <r>
    <x v="0"/>
    <x v="94"/>
    <x v="2"/>
    <n v="5204"/>
  </r>
  <r>
    <x v="0"/>
    <x v="95"/>
    <x v="1"/>
    <n v="5204"/>
  </r>
  <r>
    <x v="0"/>
    <x v="96"/>
    <x v="0"/>
    <n v="5181"/>
  </r>
  <r>
    <x v="0"/>
    <x v="97"/>
    <x v="1"/>
    <n v="5180"/>
  </r>
  <r>
    <x v="0"/>
    <x v="98"/>
    <x v="0"/>
    <n v="5176"/>
  </r>
  <r>
    <x v="0"/>
    <x v="99"/>
    <x v="0"/>
    <n v="5176"/>
  </r>
  <r>
    <x v="0"/>
    <x v="100"/>
    <x v="2"/>
    <n v="5167"/>
  </r>
  <r>
    <x v="0"/>
    <x v="101"/>
    <x v="1"/>
    <n v="5156"/>
  </r>
  <r>
    <x v="0"/>
    <x v="102"/>
    <x v="1"/>
    <n v="5142"/>
  </r>
  <r>
    <x v="0"/>
    <x v="103"/>
    <x v="1"/>
    <n v="5141"/>
  </r>
  <r>
    <x v="0"/>
    <x v="104"/>
    <x v="2"/>
    <n v="5128"/>
  </r>
  <r>
    <x v="0"/>
    <x v="105"/>
    <x v="2"/>
    <n v="5108"/>
  </r>
  <r>
    <x v="0"/>
    <x v="106"/>
    <x v="1"/>
    <n v="5093"/>
  </r>
  <r>
    <x v="0"/>
    <x v="107"/>
    <x v="0"/>
    <n v="5074"/>
  </r>
  <r>
    <x v="0"/>
    <x v="108"/>
    <x v="2"/>
    <n v="5073"/>
  </r>
  <r>
    <x v="0"/>
    <x v="109"/>
    <x v="1"/>
    <n v="5058"/>
  </r>
  <r>
    <x v="0"/>
    <x v="110"/>
    <x v="0"/>
    <n v="5050"/>
  </r>
  <r>
    <x v="0"/>
    <x v="111"/>
    <x v="2"/>
    <n v="5047"/>
  </r>
  <r>
    <x v="0"/>
    <x v="112"/>
    <x v="2"/>
    <n v="5040"/>
  </r>
  <r>
    <x v="0"/>
    <x v="113"/>
    <x v="0"/>
    <n v="5036"/>
  </r>
  <r>
    <x v="0"/>
    <x v="114"/>
    <x v="2"/>
    <n v="5002"/>
  </r>
  <r>
    <x v="0"/>
    <x v="115"/>
    <x v="2"/>
    <n v="4993"/>
  </r>
  <r>
    <x v="0"/>
    <x v="116"/>
    <x v="1"/>
    <n v="4986"/>
  </r>
  <r>
    <x v="0"/>
    <x v="117"/>
    <x v="1"/>
    <n v="4984"/>
  </r>
  <r>
    <x v="0"/>
    <x v="118"/>
    <x v="2"/>
    <n v="4976"/>
  </r>
  <r>
    <x v="0"/>
    <x v="119"/>
    <x v="2"/>
    <n v="4972"/>
  </r>
  <r>
    <x v="0"/>
    <x v="120"/>
    <x v="1"/>
    <n v="4967"/>
  </r>
  <r>
    <x v="0"/>
    <x v="121"/>
    <x v="1"/>
    <n v="4949"/>
  </r>
  <r>
    <x v="0"/>
    <x v="122"/>
    <x v="2"/>
    <n v="4919"/>
  </r>
  <r>
    <x v="0"/>
    <x v="123"/>
    <x v="0"/>
    <n v="4916"/>
  </r>
  <r>
    <x v="0"/>
    <x v="124"/>
    <x v="2"/>
    <n v="4913"/>
  </r>
  <r>
    <x v="0"/>
    <x v="125"/>
    <x v="0"/>
    <n v="4913"/>
  </r>
  <r>
    <x v="0"/>
    <x v="126"/>
    <x v="1"/>
    <n v="4895"/>
  </r>
  <r>
    <x v="0"/>
    <x v="127"/>
    <x v="1"/>
    <n v="4882"/>
  </r>
  <r>
    <x v="0"/>
    <x v="128"/>
    <x v="1"/>
    <n v="4879"/>
  </r>
  <r>
    <x v="0"/>
    <x v="129"/>
    <x v="1"/>
    <n v="4878"/>
  </r>
  <r>
    <x v="0"/>
    <x v="130"/>
    <x v="1"/>
    <n v="4858"/>
  </r>
  <r>
    <x v="0"/>
    <x v="131"/>
    <x v="2"/>
    <n v="4855"/>
  </r>
  <r>
    <x v="0"/>
    <x v="132"/>
    <x v="0"/>
    <n v="4854"/>
  </r>
  <r>
    <x v="0"/>
    <x v="133"/>
    <x v="1"/>
    <n v="4852"/>
  </r>
  <r>
    <x v="0"/>
    <x v="134"/>
    <x v="2"/>
    <n v="4850"/>
  </r>
  <r>
    <x v="0"/>
    <x v="135"/>
    <x v="1"/>
    <n v="4844"/>
  </r>
  <r>
    <x v="0"/>
    <x v="136"/>
    <x v="2"/>
    <n v="4834"/>
  </r>
  <r>
    <x v="0"/>
    <x v="137"/>
    <x v="0"/>
    <n v="4825"/>
  </r>
  <r>
    <x v="0"/>
    <x v="138"/>
    <x v="2"/>
    <n v="4793"/>
  </r>
  <r>
    <x v="0"/>
    <x v="139"/>
    <x v="1"/>
    <n v="4783"/>
  </r>
  <r>
    <x v="0"/>
    <x v="140"/>
    <x v="1"/>
    <n v="4774"/>
  </r>
  <r>
    <x v="0"/>
    <x v="141"/>
    <x v="1"/>
    <n v="4745"/>
  </r>
  <r>
    <x v="0"/>
    <x v="142"/>
    <x v="1"/>
    <n v="4736"/>
  </r>
  <r>
    <x v="0"/>
    <x v="143"/>
    <x v="2"/>
    <n v="4712"/>
  </r>
  <r>
    <x v="0"/>
    <x v="144"/>
    <x v="2"/>
    <n v="4712"/>
  </r>
  <r>
    <x v="0"/>
    <x v="145"/>
    <x v="1"/>
    <n v="4698"/>
  </r>
  <r>
    <x v="0"/>
    <x v="146"/>
    <x v="2"/>
    <n v="4697"/>
  </r>
  <r>
    <x v="0"/>
    <x v="147"/>
    <x v="0"/>
    <n v="4682"/>
  </r>
  <r>
    <x v="0"/>
    <x v="148"/>
    <x v="0"/>
    <n v="4674"/>
  </r>
  <r>
    <x v="0"/>
    <x v="149"/>
    <x v="1"/>
    <n v="4656"/>
  </r>
  <r>
    <x v="0"/>
    <x v="150"/>
    <x v="0"/>
    <n v="4654"/>
  </r>
  <r>
    <x v="0"/>
    <x v="151"/>
    <x v="1"/>
    <n v="4651"/>
  </r>
  <r>
    <x v="0"/>
    <x v="152"/>
    <x v="2"/>
    <n v="4605"/>
  </r>
  <r>
    <x v="0"/>
    <x v="153"/>
    <x v="1"/>
    <n v="4598"/>
  </r>
  <r>
    <x v="0"/>
    <x v="154"/>
    <x v="1"/>
    <n v="4593"/>
  </r>
  <r>
    <x v="0"/>
    <x v="155"/>
    <x v="2"/>
    <n v="4581"/>
  </r>
  <r>
    <x v="0"/>
    <x v="156"/>
    <x v="0"/>
    <n v="4578"/>
  </r>
  <r>
    <x v="0"/>
    <x v="157"/>
    <x v="2"/>
    <n v="4551"/>
  </r>
  <r>
    <x v="0"/>
    <x v="158"/>
    <x v="0"/>
    <n v="4551"/>
  </r>
  <r>
    <x v="0"/>
    <x v="159"/>
    <x v="0"/>
    <n v="4550"/>
  </r>
  <r>
    <x v="0"/>
    <x v="160"/>
    <x v="0"/>
    <n v="4550"/>
  </r>
  <r>
    <x v="0"/>
    <x v="161"/>
    <x v="2"/>
    <n v="4523"/>
  </r>
  <r>
    <x v="0"/>
    <x v="162"/>
    <x v="2"/>
    <n v="4505"/>
  </r>
  <r>
    <x v="0"/>
    <x v="163"/>
    <x v="0"/>
    <n v="4489"/>
  </r>
  <r>
    <x v="0"/>
    <x v="164"/>
    <x v="0"/>
    <n v="4486"/>
  </r>
  <r>
    <x v="0"/>
    <x v="165"/>
    <x v="1"/>
    <n v="4447"/>
  </r>
  <r>
    <x v="0"/>
    <x v="166"/>
    <x v="0"/>
    <n v="4425"/>
  </r>
  <r>
    <x v="0"/>
    <x v="167"/>
    <x v="2"/>
    <n v="4418"/>
  </r>
  <r>
    <x v="0"/>
    <x v="168"/>
    <x v="0"/>
    <n v="4406"/>
  </r>
  <r>
    <x v="0"/>
    <x v="169"/>
    <x v="0"/>
    <n v="4396"/>
  </r>
  <r>
    <x v="0"/>
    <x v="170"/>
    <x v="0"/>
    <n v="4391"/>
  </r>
  <r>
    <x v="0"/>
    <x v="171"/>
    <x v="2"/>
    <n v="4390"/>
  </r>
  <r>
    <x v="0"/>
    <x v="172"/>
    <x v="0"/>
    <n v="4381"/>
  </r>
  <r>
    <x v="0"/>
    <x v="173"/>
    <x v="1"/>
    <n v="4374"/>
  </r>
  <r>
    <x v="0"/>
    <x v="174"/>
    <x v="1"/>
    <n v="4296"/>
  </r>
  <r>
    <x v="0"/>
    <x v="175"/>
    <x v="2"/>
    <n v="4267"/>
  </r>
  <r>
    <x v="0"/>
    <x v="176"/>
    <x v="0"/>
    <n v="4261"/>
  </r>
  <r>
    <x v="0"/>
    <x v="177"/>
    <x v="1"/>
    <n v="4259"/>
  </r>
  <r>
    <x v="0"/>
    <x v="178"/>
    <x v="1"/>
    <n v="4258"/>
  </r>
  <r>
    <x v="0"/>
    <x v="179"/>
    <x v="1"/>
    <n v="4249"/>
  </r>
  <r>
    <x v="0"/>
    <x v="180"/>
    <x v="0"/>
    <n v="4235"/>
  </r>
  <r>
    <x v="0"/>
    <x v="181"/>
    <x v="0"/>
    <n v="4222"/>
  </r>
  <r>
    <x v="0"/>
    <x v="182"/>
    <x v="1"/>
    <n v="4215"/>
  </r>
  <r>
    <x v="0"/>
    <x v="183"/>
    <x v="1"/>
    <n v="4189"/>
  </r>
  <r>
    <x v="0"/>
    <x v="184"/>
    <x v="0"/>
    <n v="4187"/>
  </r>
  <r>
    <x v="0"/>
    <x v="185"/>
    <x v="2"/>
    <n v="4187"/>
  </r>
  <r>
    <x v="0"/>
    <x v="186"/>
    <x v="2"/>
    <n v="4133"/>
  </r>
  <r>
    <x v="0"/>
    <x v="187"/>
    <x v="0"/>
    <n v="4095"/>
  </r>
  <r>
    <x v="0"/>
    <x v="188"/>
    <x v="2"/>
    <n v="4022"/>
  </r>
  <r>
    <x v="0"/>
    <x v="189"/>
    <x v="0"/>
    <n v="4001"/>
  </r>
  <r>
    <x v="0"/>
    <x v="190"/>
    <x v="2"/>
    <n v="3947"/>
  </r>
  <r>
    <x v="0"/>
    <x v="191"/>
    <x v="2"/>
    <n v="3929"/>
  </r>
  <r>
    <x v="0"/>
    <x v="192"/>
    <x v="0"/>
    <n v="3912"/>
  </r>
  <r>
    <x v="0"/>
    <x v="193"/>
    <x v="1"/>
    <n v="3860"/>
  </r>
  <r>
    <x v="0"/>
    <x v="194"/>
    <x v="1"/>
    <n v="3756"/>
  </r>
  <r>
    <x v="0"/>
    <x v="195"/>
    <x v="1"/>
    <n v="3728"/>
  </r>
  <r>
    <x v="0"/>
    <x v="196"/>
    <x v="0"/>
    <n v="3695"/>
  </r>
  <r>
    <x v="0"/>
    <x v="197"/>
    <x v="1"/>
    <n v="3635"/>
  </r>
  <r>
    <x v="0"/>
    <x v="198"/>
    <x v="0"/>
    <n v="3530"/>
  </r>
  <r>
    <x v="0"/>
    <x v="199"/>
    <x v="0"/>
    <n v="3375"/>
  </r>
  <r>
    <x v="1"/>
    <x v="174"/>
    <x v="1"/>
    <n v="547"/>
  </r>
  <r>
    <x v="1"/>
    <x v="128"/>
    <x v="1"/>
    <n v="460"/>
  </r>
  <r>
    <x v="1"/>
    <x v="4"/>
    <x v="0"/>
    <n v="411"/>
  </r>
  <r>
    <x v="1"/>
    <x v="173"/>
    <x v="1"/>
    <n v="403"/>
  </r>
  <r>
    <x v="1"/>
    <x v="186"/>
    <x v="2"/>
    <n v="340"/>
  </r>
  <r>
    <x v="1"/>
    <x v="132"/>
    <x v="0"/>
    <n v="335"/>
  </r>
  <r>
    <x v="1"/>
    <x v="171"/>
    <x v="2"/>
    <n v="333"/>
  </r>
  <r>
    <x v="1"/>
    <x v="195"/>
    <x v="1"/>
    <n v="325"/>
  </r>
  <r>
    <x v="1"/>
    <x v="157"/>
    <x v="2"/>
    <n v="324"/>
  </r>
  <r>
    <x v="1"/>
    <x v="160"/>
    <x v="0"/>
    <n v="317"/>
  </r>
  <r>
    <x v="1"/>
    <x v="122"/>
    <x v="2"/>
    <n v="308"/>
  </r>
  <r>
    <x v="1"/>
    <x v="39"/>
    <x v="0"/>
    <n v="308"/>
  </r>
  <r>
    <x v="1"/>
    <x v="192"/>
    <x v="0"/>
    <n v="306"/>
  </r>
  <r>
    <x v="1"/>
    <x v="28"/>
    <x v="2"/>
    <n v="303"/>
  </r>
  <r>
    <x v="1"/>
    <x v="22"/>
    <x v="2"/>
    <n v="296"/>
  </r>
  <r>
    <x v="1"/>
    <x v="40"/>
    <x v="0"/>
    <n v="284"/>
  </r>
  <r>
    <x v="1"/>
    <x v="71"/>
    <x v="2"/>
    <n v="283"/>
  </r>
  <r>
    <x v="1"/>
    <x v="52"/>
    <x v="1"/>
    <n v="274"/>
  </r>
  <r>
    <x v="1"/>
    <x v="74"/>
    <x v="1"/>
    <n v="272"/>
  </r>
  <r>
    <x v="1"/>
    <x v="42"/>
    <x v="0"/>
    <n v="269"/>
  </r>
  <r>
    <x v="1"/>
    <x v="75"/>
    <x v="2"/>
    <n v="249"/>
  </r>
  <r>
    <x v="1"/>
    <x v="77"/>
    <x v="1"/>
    <n v="238"/>
  </r>
  <r>
    <x v="1"/>
    <x v="130"/>
    <x v="1"/>
    <n v="233"/>
  </r>
  <r>
    <x v="1"/>
    <x v="168"/>
    <x v="0"/>
    <n v="231"/>
  </r>
  <r>
    <x v="1"/>
    <x v="84"/>
    <x v="2"/>
    <n v="230"/>
  </r>
  <r>
    <x v="1"/>
    <x v="154"/>
    <x v="1"/>
    <n v="229"/>
  </r>
  <r>
    <x v="1"/>
    <x v="56"/>
    <x v="2"/>
    <n v="224"/>
  </r>
  <r>
    <x v="1"/>
    <x v="44"/>
    <x v="2"/>
    <n v="224"/>
  </r>
  <r>
    <x v="1"/>
    <x v="33"/>
    <x v="2"/>
    <n v="224"/>
  </r>
  <r>
    <x v="1"/>
    <x v="121"/>
    <x v="1"/>
    <n v="222"/>
  </r>
  <r>
    <x v="1"/>
    <x v="166"/>
    <x v="0"/>
    <n v="220"/>
  </r>
  <r>
    <x v="1"/>
    <x v="96"/>
    <x v="0"/>
    <n v="219"/>
  </r>
  <r>
    <x v="1"/>
    <x v="183"/>
    <x v="1"/>
    <n v="217"/>
  </r>
  <r>
    <x v="1"/>
    <x v="38"/>
    <x v="2"/>
    <n v="215"/>
  </r>
  <r>
    <x v="1"/>
    <x v="134"/>
    <x v="2"/>
    <n v="212"/>
  </r>
  <r>
    <x v="1"/>
    <x v="24"/>
    <x v="1"/>
    <n v="211"/>
  </r>
  <r>
    <x v="1"/>
    <x v="114"/>
    <x v="2"/>
    <n v="209"/>
  </r>
  <r>
    <x v="1"/>
    <x v="102"/>
    <x v="1"/>
    <n v="206"/>
  </r>
  <r>
    <x v="1"/>
    <x v="25"/>
    <x v="0"/>
    <n v="206"/>
  </r>
  <r>
    <x v="1"/>
    <x v="184"/>
    <x v="0"/>
    <n v="206"/>
  </r>
  <r>
    <x v="1"/>
    <x v="190"/>
    <x v="2"/>
    <n v="205"/>
  </r>
  <r>
    <x v="1"/>
    <x v="48"/>
    <x v="0"/>
    <n v="202"/>
  </r>
  <r>
    <x v="1"/>
    <x v="129"/>
    <x v="1"/>
    <n v="201"/>
  </r>
  <r>
    <x v="1"/>
    <x v="111"/>
    <x v="2"/>
    <n v="201"/>
  </r>
  <r>
    <x v="1"/>
    <x v="176"/>
    <x v="0"/>
    <n v="198"/>
  </r>
  <r>
    <x v="1"/>
    <x v="72"/>
    <x v="2"/>
    <n v="193"/>
  </r>
  <r>
    <x v="1"/>
    <x v="57"/>
    <x v="1"/>
    <n v="193"/>
  </r>
  <r>
    <x v="1"/>
    <x v="29"/>
    <x v="1"/>
    <n v="191"/>
  </r>
  <r>
    <x v="1"/>
    <x v="17"/>
    <x v="1"/>
    <n v="190"/>
  </r>
  <r>
    <x v="1"/>
    <x v="34"/>
    <x v="2"/>
    <n v="182"/>
  </r>
  <r>
    <x v="1"/>
    <x v="51"/>
    <x v="2"/>
    <n v="181"/>
  </r>
  <r>
    <x v="1"/>
    <x v="26"/>
    <x v="1"/>
    <n v="173"/>
  </r>
  <r>
    <x v="1"/>
    <x v="117"/>
    <x v="1"/>
    <n v="172"/>
  </r>
  <r>
    <x v="1"/>
    <x v="8"/>
    <x v="0"/>
    <n v="171"/>
  </r>
  <r>
    <x v="1"/>
    <x v="163"/>
    <x v="0"/>
    <n v="170"/>
  </r>
  <r>
    <x v="1"/>
    <x v="93"/>
    <x v="0"/>
    <n v="157"/>
  </r>
  <r>
    <x v="1"/>
    <x v="92"/>
    <x v="1"/>
    <n v="156"/>
  </r>
  <r>
    <x v="1"/>
    <x v="145"/>
    <x v="1"/>
    <n v="149"/>
  </r>
  <r>
    <x v="1"/>
    <x v="14"/>
    <x v="1"/>
    <n v="145"/>
  </r>
  <r>
    <x v="1"/>
    <x v="138"/>
    <x v="2"/>
    <n v="142"/>
  </r>
  <r>
    <x v="1"/>
    <x v="55"/>
    <x v="1"/>
    <n v="130"/>
  </r>
  <r>
    <x v="1"/>
    <x v="69"/>
    <x v="0"/>
    <n v="130"/>
  </r>
  <r>
    <x v="1"/>
    <x v="101"/>
    <x v="1"/>
    <n v="126"/>
  </r>
  <r>
    <x v="1"/>
    <x v="133"/>
    <x v="1"/>
    <n v="125"/>
  </r>
  <r>
    <x v="1"/>
    <x v="137"/>
    <x v="0"/>
    <n v="124"/>
  </r>
  <r>
    <x v="1"/>
    <x v="86"/>
    <x v="2"/>
    <n v="123"/>
  </r>
  <r>
    <x v="1"/>
    <x v="60"/>
    <x v="0"/>
    <n v="123"/>
  </r>
  <r>
    <x v="1"/>
    <x v="119"/>
    <x v="2"/>
    <n v="122"/>
  </r>
  <r>
    <x v="1"/>
    <x v="152"/>
    <x v="2"/>
    <n v="122"/>
  </r>
  <r>
    <x v="1"/>
    <x v="100"/>
    <x v="2"/>
    <n v="122"/>
  </r>
  <r>
    <x v="1"/>
    <x v="155"/>
    <x v="2"/>
    <n v="120"/>
  </r>
  <r>
    <x v="1"/>
    <x v="32"/>
    <x v="1"/>
    <n v="116"/>
  </r>
  <r>
    <x v="1"/>
    <x v="159"/>
    <x v="0"/>
    <n v="113"/>
  </r>
  <r>
    <x v="1"/>
    <x v="188"/>
    <x v="2"/>
    <n v="112"/>
  </r>
  <r>
    <x v="1"/>
    <x v="135"/>
    <x v="1"/>
    <n v="111"/>
  </r>
  <r>
    <x v="1"/>
    <x v="87"/>
    <x v="2"/>
    <n v="111"/>
  </r>
  <r>
    <x v="1"/>
    <x v="172"/>
    <x v="0"/>
    <n v="111"/>
  </r>
  <r>
    <x v="1"/>
    <x v="189"/>
    <x v="0"/>
    <n v="110"/>
  </r>
  <r>
    <x v="1"/>
    <x v="146"/>
    <x v="2"/>
    <n v="108"/>
  </r>
  <r>
    <x v="1"/>
    <x v="20"/>
    <x v="2"/>
    <n v="108"/>
  </r>
  <r>
    <x v="1"/>
    <x v="53"/>
    <x v="0"/>
    <n v="106"/>
  </r>
  <r>
    <x v="1"/>
    <x v="70"/>
    <x v="0"/>
    <n v="106"/>
  </r>
  <r>
    <x v="1"/>
    <x v="36"/>
    <x v="1"/>
    <n v="105"/>
  </r>
  <r>
    <x v="1"/>
    <x v="31"/>
    <x v="2"/>
    <n v="104"/>
  </r>
  <r>
    <x v="1"/>
    <x v="140"/>
    <x v="1"/>
    <n v="103"/>
  </r>
  <r>
    <x v="1"/>
    <x v="126"/>
    <x v="1"/>
    <n v="101"/>
  </r>
  <r>
    <x v="1"/>
    <x v="104"/>
    <x v="2"/>
    <n v="101"/>
  </r>
  <r>
    <x v="1"/>
    <x v="110"/>
    <x v="0"/>
    <n v="100"/>
  </r>
  <r>
    <x v="1"/>
    <x v="18"/>
    <x v="1"/>
    <n v="99"/>
  </r>
  <r>
    <x v="1"/>
    <x v="198"/>
    <x v="0"/>
    <n v="98"/>
  </r>
  <r>
    <x v="1"/>
    <x v="21"/>
    <x v="0"/>
    <n v="98"/>
  </r>
  <r>
    <x v="1"/>
    <x v="45"/>
    <x v="1"/>
    <n v="98"/>
  </r>
  <r>
    <x v="1"/>
    <x v="67"/>
    <x v="1"/>
    <n v="98"/>
  </r>
  <r>
    <x v="1"/>
    <x v="49"/>
    <x v="1"/>
    <n v="97"/>
  </r>
  <r>
    <x v="1"/>
    <x v="179"/>
    <x v="1"/>
    <n v="97"/>
  </r>
  <r>
    <x v="1"/>
    <x v="59"/>
    <x v="1"/>
    <n v="96"/>
  </r>
  <r>
    <x v="1"/>
    <x v="103"/>
    <x v="1"/>
    <n v="95"/>
  </r>
  <r>
    <x v="1"/>
    <x v="131"/>
    <x v="2"/>
    <n v="95"/>
  </r>
  <r>
    <x v="1"/>
    <x v="13"/>
    <x v="0"/>
    <n v="95"/>
  </r>
  <r>
    <x v="1"/>
    <x v="27"/>
    <x v="1"/>
    <n v="94"/>
  </r>
  <r>
    <x v="1"/>
    <x v="125"/>
    <x v="0"/>
    <n v="94"/>
  </r>
  <r>
    <x v="1"/>
    <x v="191"/>
    <x v="2"/>
    <n v="94"/>
  </r>
  <r>
    <x v="1"/>
    <x v="106"/>
    <x v="1"/>
    <n v="94"/>
  </r>
  <r>
    <x v="1"/>
    <x v="156"/>
    <x v="0"/>
    <n v="94"/>
  </r>
  <r>
    <x v="1"/>
    <x v="178"/>
    <x v="1"/>
    <n v="94"/>
  </r>
  <r>
    <x v="1"/>
    <x v="180"/>
    <x v="0"/>
    <n v="92"/>
  </r>
  <r>
    <x v="1"/>
    <x v="19"/>
    <x v="2"/>
    <n v="92"/>
  </r>
  <r>
    <x v="1"/>
    <x v="81"/>
    <x v="0"/>
    <n v="89"/>
  </r>
  <r>
    <x v="1"/>
    <x v="99"/>
    <x v="0"/>
    <n v="87"/>
  </r>
  <r>
    <x v="1"/>
    <x v="3"/>
    <x v="2"/>
    <n v="85"/>
  </r>
  <r>
    <x v="1"/>
    <x v="41"/>
    <x v="2"/>
    <n v="83"/>
  </r>
  <r>
    <x v="1"/>
    <x v="16"/>
    <x v="1"/>
    <n v="82"/>
  </r>
  <r>
    <x v="1"/>
    <x v="150"/>
    <x v="0"/>
    <n v="82"/>
  </r>
  <r>
    <x v="1"/>
    <x v="185"/>
    <x v="2"/>
    <n v="82"/>
  </r>
  <r>
    <x v="1"/>
    <x v="54"/>
    <x v="0"/>
    <n v="81"/>
  </r>
  <r>
    <x v="1"/>
    <x v="23"/>
    <x v="2"/>
    <n v="78"/>
  </r>
  <r>
    <x v="1"/>
    <x v="91"/>
    <x v="1"/>
    <n v="75"/>
  </r>
  <r>
    <x v="1"/>
    <x v="2"/>
    <x v="1"/>
    <n v="69"/>
  </r>
  <r>
    <x v="1"/>
    <x v="5"/>
    <x v="1"/>
    <n v="69"/>
  </r>
  <r>
    <x v="1"/>
    <x v="151"/>
    <x v="1"/>
    <n v="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51C23-E477-4E0C-968A-33790C78036A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F22:G223" firstHeaderRow="1" firstDataRow="1" firstDataCol="1" rowPageCount="1" colPageCount="1"/>
  <pivotFields count="4">
    <pivotField axis="axisPage" showAll="0">
      <items count="3">
        <item x="0"/>
        <item x="1"/>
        <item t="default"/>
      </items>
    </pivotField>
    <pivotField axis="axisRow" showAll="0" sortType="ascending">
      <items count="201">
        <item x="3"/>
        <item x="129"/>
        <item x="128"/>
        <item x="61"/>
        <item x="117"/>
        <item x="2"/>
        <item x="94"/>
        <item x="171"/>
        <item x="148"/>
        <item x="9"/>
        <item x="50"/>
        <item x="95"/>
        <item x="4"/>
        <item x="188"/>
        <item x="124"/>
        <item x="48"/>
        <item x="157"/>
        <item x="103"/>
        <item x="163"/>
        <item x="122"/>
        <item x="153"/>
        <item x="193"/>
        <item x="40"/>
        <item x="134"/>
        <item x="27"/>
        <item x="139"/>
        <item x="114"/>
        <item x="145"/>
        <item x="119"/>
        <item x="42"/>
        <item x="49"/>
        <item x="135"/>
        <item x="107"/>
        <item x="96"/>
        <item x="26"/>
        <item x="6"/>
        <item x="125"/>
        <item x="198"/>
        <item x="41"/>
        <item x="191"/>
        <item x="181"/>
        <item x="146"/>
        <item x="29"/>
        <item x="152"/>
        <item x="79"/>
        <item x="164"/>
        <item x="34"/>
        <item x="53"/>
        <item x="5"/>
        <item x="197"/>
        <item x="98"/>
        <item x="108"/>
        <item x="194"/>
        <item x="99"/>
        <item x="189"/>
        <item x="11"/>
        <item x="46"/>
        <item x="55"/>
        <item x="112"/>
        <item x="118"/>
        <item x="183"/>
        <item x="180"/>
        <item x="63"/>
        <item x="195"/>
        <item x="24"/>
        <item x="159"/>
        <item x="87"/>
        <item x="161"/>
        <item x="149"/>
        <item x="199"/>
        <item x="58"/>
        <item x="160"/>
        <item x="132"/>
        <item x="36"/>
        <item x="91"/>
        <item x="8"/>
        <item x="35"/>
        <item x="115"/>
        <item x="28"/>
        <item x="64"/>
        <item x="69"/>
        <item x="102"/>
        <item x="106"/>
        <item x="176"/>
        <item x="56"/>
        <item x="66"/>
        <item x="59"/>
        <item x="151"/>
        <item x="100"/>
        <item x="16"/>
        <item x="92"/>
        <item x="75"/>
        <item x="143"/>
        <item x="74"/>
        <item x="142"/>
        <item x="101"/>
        <item x="105"/>
        <item x="131"/>
        <item x="80"/>
        <item x="15"/>
        <item x="86"/>
        <item x="82"/>
        <item x="21"/>
        <item x="130"/>
        <item x="13"/>
        <item x="93"/>
        <item x="116"/>
        <item x="88"/>
        <item x="45"/>
        <item x="78"/>
        <item x="127"/>
        <item x="167"/>
        <item x="23"/>
        <item x="37"/>
        <item x="7"/>
        <item x="44"/>
        <item x="179"/>
        <item x="165"/>
        <item x="111"/>
        <item x="172"/>
        <item x="10"/>
        <item x="133"/>
        <item x="22"/>
        <item x="144"/>
        <item x="76"/>
        <item x="137"/>
        <item x="156"/>
        <item x="186"/>
        <item x="51"/>
        <item x="110"/>
        <item x="85"/>
        <item x="89"/>
        <item x="12"/>
        <item x="169"/>
        <item x="120"/>
        <item x="65"/>
        <item x="30"/>
        <item x="60"/>
        <item x="43"/>
        <item x="25"/>
        <item x="38"/>
        <item x="138"/>
        <item x="162"/>
        <item x="39"/>
        <item x="136"/>
        <item x="150"/>
        <item x="113"/>
        <item x="170"/>
        <item x="190"/>
        <item x="68"/>
        <item x="77"/>
        <item x="32"/>
        <item x="72"/>
        <item x="182"/>
        <item x="33"/>
        <item x="141"/>
        <item x="71"/>
        <item x="62"/>
        <item x="168"/>
        <item x="90"/>
        <item x="154"/>
        <item x="166"/>
        <item x="109"/>
        <item x="121"/>
        <item x="123"/>
        <item x="0"/>
        <item x="158"/>
        <item x="184"/>
        <item x="31"/>
        <item x="173"/>
        <item x="81"/>
        <item x="54"/>
        <item x="14"/>
        <item x="185"/>
        <item x="57"/>
        <item x="20"/>
        <item x="84"/>
        <item x="174"/>
        <item x="83"/>
        <item x="147"/>
        <item x="97"/>
        <item x="52"/>
        <item x="70"/>
        <item x="73"/>
        <item x="192"/>
        <item x="47"/>
        <item x="155"/>
        <item x="175"/>
        <item x="126"/>
        <item x="1"/>
        <item x="187"/>
        <item x="19"/>
        <item x="17"/>
        <item x="18"/>
        <item x="104"/>
        <item x="196"/>
        <item x="67"/>
        <item x="177"/>
        <item x="140"/>
        <item x="17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0"/>
        <item x="2"/>
        <item x="1"/>
        <item t="default"/>
      </items>
    </pivotField>
    <pivotField dataField="1" showAll="0"/>
  </pivotFields>
  <rowFields count="1">
    <field x="1"/>
  </rowFields>
  <rowItems count="201">
    <i>
      <x v="69"/>
    </i>
    <i>
      <x v="37"/>
    </i>
    <i>
      <x v="49"/>
    </i>
    <i>
      <x v="195"/>
    </i>
    <i>
      <x v="52"/>
    </i>
    <i>
      <x v="21"/>
    </i>
    <i>
      <x v="39"/>
    </i>
    <i>
      <x v="63"/>
    </i>
    <i>
      <x v="190"/>
    </i>
    <i>
      <x v="54"/>
    </i>
    <i>
      <x v="13"/>
    </i>
    <i>
      <x v="148"/>
    </i>
    <i>
      <x v="153"/>
    </i>
    <i>
      <x v="184"/>
    </i>
    <i>
      <x v="40"/>
    </i>
    <i>
      <x v="197"/>
    </i>
    <i>
      <x v="187"/>
    </i>
    <i>
      <x v="173"/>
    </i>
    <i>
      <x v="61"/>
    </i>
    <i>
      <x v="116"/>
    </i>
    <i>
      <x v="199"/>
    </i>
    <i>
      <x v="147"/>
    </i>
    <i>
      <x v="167"/>
    </i>
    <i>
      <x v="133"/>
    </i>
    <i>
      <x v="60"/>
    </i>
    <i>
      <x v="111"/>
    </i>
    <i>
      <x v="117"/>
    </i>
    <i>
      <x v="83"/>
    </i>
    <i>
      <x v="127"/>
    </i>
    <i>
      <x v="45"/>
    </i>
    <i>
      <x v="119"/>
    </i>
    <i>
      <x v="142"/>
    </i>
    <i>
      <x v="67"/>
    </i>
    <i>
      <x v="166"/>
    </i>
    <i>
      <x v="20"/>
    </i>
    <i>
      <x v="158"/>
    </i>
    <i>
      <x v="161"/>
    </i>
    <i>
      <x v="68"/>
    </i>
    <i>
      <x v="18"/>
    </i>
    <i>
      <x v="65"/>
    </i>
    <i>
      <x v="126"/>
    </i>
    <i>
      <x v="8"/>
    </i>
    <i>
      <x v="179"/>
    </i>
    <i>
      <x v="186"/>
    </i>
    <i>
      <x v="92"/>
    </i>
    <i>
      <x v="123"/>
    </i>
    <i>
      <x v="87"/>
    </i>
    <i>
      <x v="7"/>
    </i>
    <i>
      <x v="43"/>
    </i>
    <i>
      <x v="94"/>
    </i>
    <i>
      <x v="145"/>
    </i>
    <i>
      <x v="155"/>
    </i>
    <i>
      <x v="169"/>
    </i>
    <i>
      <x v="25"/>
    </i>
    <i>
      <x v="41"/>
    </i>
    <i>
      <x v="160"/>
    </i>
    <i>
      <x v="144"/>
    </i>
    <i>
      <x v="177"/>
    </i>
    <i>
      <x v="27"/>
    </i>
    <i>
      <x v="71"/>
    </i>
    <i>
      <x v="16"/>
    </i>
    <i>
      <x v="198"/>
    </i>
    <i>
      <x v="110"/>
    </i>
    <i>
      <x v="14"/>
    </i>
    <i>
      <x v="164"/>
    </i>
    <i>
      <x v="141"/>
    </i>
    <i>
      <x v="125"/>
    </i>
    <i>
      <x v="97"/>
    </i>
    <i>
      <x v="31"/>
    </i>
    <i>
      <x v="134"/>
    </i>
    <i>
      <x v="59"/>
    </i>
    <i>
      <x v="121"/>
    </i>
    <i>
      <x v="106"/>
    </i>
    <i>
      <x v="77"/>
    </i>
    <i>
      <x v="188"/>
    </i>
    <i>
      <x v="36"/>
    </i>
    <i>
      <x v="146"/>
    </i>
    <i>
      <x v="58"/>
    </i>
    <i>
      <x v="162"/>
    </i>
    <i>
      <x v="23"/>
    </i>
    <i>
      <x v="51"/>
    </i>
    <i>
      <x v="32"/>
    </i>
    <i>
      <x v="1"/>
    </i>
    <i>
      <x v="103"/>
    </i>
    <i>
      <x v="28"/>
    </i>
    <i>
      <x v="96"/>
    </i>
    <i>
      <x v="129"/>
    </i>
    <i>
      <x v="4"/>
    </i>
    <i>
      <x v="163"/>
    </i>
    <i>
      <x v="50"/>
    </i>
    <i>
      <x v="180"/>
    </i>
    <i>
      <x v="82"/>
    </i>
    <i>
      <x v="72"/>
    </i>
    <i>
      <x v="11"/>
    </i>
    <i>
      <x v="6"/>
    </i>
    <i>
      <x v="26"/>
    </i>
    <i>
      <x v="159"/>
    </i>
    <i>
      <x v="131"/>
    </i>
    <i>
      <x v="107"/>
    </i>
    <i>
      <x v="19"/>
    </i>
    <i>
      <x v="194"/>
    </i>
    <i>
      <x v="17"/>
    </i>
    <i>
      <x v="130"/>
    </i>
    <i>
      <x v="118"/>
    </i>
    <i>
      <x v="178"/>
    </i>
    <i>
      <x v="101"/>
    </i>
    <i>
      <x v="53"/>
    </i>
    <i>
      <x v="98"/>
    </i>
    <i>
      <x v="95"/>
    </i>
    <i>
      <x v="44"/>
    </i>
    <i>
      <x v="74"/>
    </i>
    <i>
      <x v="109"/>
    </i>
    <i>
      <x v="88"/>
    </i>
    <i>
      <x v="124"/>
    </i>
    <i>
      <x v="66"/>
    </i>
    <i>
      <x v="2"/>
    </i>
    <i>
      <x v="81"/>
    </i>
    <i>
      <x v="170"/>
    </i>
    <i>
      <x v="183"/>
    </i>
    <i>
      <x v="100"/>
    </i>
    <i>
      <x v="90"/>
    </i>
    <i>
      <x v="105"/>
    </i>
    <i>
      <x v="33"/>
    </i>
    <i>
      <x v="149"/>
    </i>
    <i>
      <x v="176"/>
    </i>
    <i>
      <x v="85"/>
    </i>
    <i>
      <x v="79"/>
    </i>
    <i>
      <x v="135"/>
    </i>
    <i>
      <x v="62"/>
    </i>
    <i>
      <x v="157"/>
    </i>
    <i>
      <x v="3"/>
    </i>
    <i>
      <x v="150"/>
    </i>
    <i>
      <x v="182"/>
    </i>
    <i>
      <x v="70"/>
    </i>
    <i>
      <x v="196"/>
    </i>
    <i>
      <x v="80"/>
    </i>
    <i>
      <x v="152"/>
    </i>
    <i>
      <x v="91"/>
    </i>
    <i>
      <x v="93"/>
    </i>
    <i>
      <x v="86"/>
    </i>
    <i>
      <x v="137"/>
    </i>
    <i>
      <x v="10"/>
    </i>
    <i>
      <x v="171"/>
    </i>
    <i>
      <x v="185"/>
    </i>
    <i>
      <x v="57"/>
    </i>
    <i>
      <x v="156"/>
    </i>
    <i>
      <x v="47"/>
    </i>
    <i>
      <x v="174"/>
    </i>
    <i>
      <x v="56"/>
    </i>
    <i>
      <x v="30"/>
    </i>
    <i>
      <x v="84"/>
    </i>
    <i>
      <x v="128"/>
    </i>
    <i>
      <x v="138"/>
    </i>
    <i>
      <x v="108"/>
    </i>
    <i>
      <x v="113"/>
    </i>
    <i>
      <x v="76"/>
    </i>
    <i>
      <x v="181"/>
    </i>
    <i>
      <x v="15"/>
    </i>
    <i>
      <x v="38"/>
    </i>
    <i>
      <x v="136"/>
    </i>
    <i>
      <x v="73"/>
    </i>
    <i>
      <x v="115"/>
    </i>
    <i>
      <x v="168"/>
    </i>
    <i>
      <x v="151"/>
    </i>
    <i>
      <x v="24"/>
    </i>
    <i>
      <x v="112"/>
    </i>
    <i>
      <x v="46"/>
    </i>
    <i>
      <x v="140"/>
    </i>
    <i>
      <x v="29"/>
    </i>
    <i>
      <x v="22"/>
    </i>
    <i>
      <x v="42"/>
    </i>
    <i>
      <x v="154"/>
    </i>
    <i>
      <x v="34"/>
    </i>
    <i>
      <x v="102"/>
    </i>
    <i>
      <x v="143"/>
    </i>
    <i>
      <x v="139"/>
    </i>
    <i>
      <x v="64"/>
    </i>
    <i>
      <x v="175"/>
    </i>
    <i>
      <x v="78"/>
    </i>
    <i>
      <x v="191"/>
    </i>
    <i>
      <x v="122"/>
    </i>
    <i>
      <x v="193"/>
    </i>
    <i>
      <x v="99"/>
    </i>
    <i>
      <x v="89"/>
    </i>
    <i>
      <x v="192"/>
    </i>
    <i>
      <x v="104"/>
    </i>
    <i>
      <x v="172"/>
    </i>
    <i>
      <x v="132"/>
    </i>
    <i>
      <x v="55"/>
    </i>
    <i>
      <x v="120"/>
    </i>
    <i>
      <x v="9"/>
    </i>
    <i>
      <x v="114"/>
    </i>
    <i>
      <x v="35"/>
    </i>
    <i>
      <x v="75"/>
    </i>
    <i>
      <x v="48"/>
    </i>
    <i>
      <x/>
    </i>
    <i>
      <x v="189"/>
    </i>
    <i>
      <x v="5"/>
    </i>
    <i>
      <x v="12"/>
    </i>
    <i>
      <x v="165"/>
    </i>
    <i t="grand">
      <x/>
    </i>
  </rowItems>
  <colItems count="1">
    <i/>
  </colItems>
  <pageFields count="1">
    <pageField fld="0" hier="-1"/>
  </pageFields>
  <dataFields count="1">
    <dataField name="求和项:total_buy_qty" fld="3" baseField="0" baseItem="0"/>
  </dataFields>
  <chartFormats count="204">
    <chartFormat chart="1" format="2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1" format="4" series="1">
      <pivotArea type="data" outline="0" fieldPosition="0">
        <references count="1">
          <reference field="1" count="1" selected="0">
            <x v="2"/>
          </reference>
        </references>
      </pivotArea>
    </chartFormat>
    <chartFormat chart="1" format="5" series="1">
      <pivotArea type="data" outline="0" fieldPosition="0">
        <references count="1">
          <reference field="1" count="1" selected="0">
            <x v="3"/>
          </reference>
        </references>
      </pivotArea>
    </chartFormat>
    <chartFormat chart="1" format="6" series="1">
      <pivotArea type="data" outline="0" fieldPosition="0">
        <references count="1">
          <reference field="1" count="1" selected="0">
            <x v="4"/>
          </reference>
        </references>
      </pivotArea>
    </chartFormat>
    <chartFormat chart="1" format="7" series="1">
      <pivotArea type="data" outline="0" fieldPosition="0">
        <references count="1">
          <reference field="1" count="1" selected="0">
            <x v="5"/>
          </reference>
        </references>
      </pivotArea>
    </chartFormat>
    <chartFormat chart="1" format="8" series="1">
      <pivotArea type="data" outline="0" fieldPosition="0">
        <references count="1">
          <reference field="1" count="1" selected="0">
            <x v="6"/>
          </reference>
        </references>
      </pivotArea>
    </chartFormat>
    <chartFormat chart="1" format="9" series="1">
      <pivotArea type="data" outline="0" fieldPosition="0">
        <references count="1">
          <reference field="1" count="1" selected="0">
            <x v="7"/>
          </reference>
        </references>
      </pivotArea>
    </chartFormat>
    <chartFormat chart="1" format="10" series="1">
      <pivotArea type="data" outline="0" fieldPosition="0">
        <references count="1">
          <reference field="1" count="1" selected="0">
            <x v="8"/>
          </reference>
        </references>
      </pivotArea>
    </chartFormat>
    <chartFormat chart="1" format="11" series="1">
      <pivotArea type="data" outline="0" fieldPosition="0">
        <references count="1">
          <reference field="1" count="1" selected="0">
            <x v="9"/>
          </reference>
        </references>
      </pivotArea>
    </chartFormat>
    <chartFormat chart="1" format="12" series="1">
      <pivotArea type="data" outline="0" fieldPosition="0">
        <references count="1">
          <reference field="1" count="1" selected="0">
            <x v="10"/>
          </reference>
        </references>
      </pivotArea>
    </chartFormat>
    <chartFormat chart="1" format="13" series="1">
      <pivotArea type="data" outline="0" fieldPosition="0">
        <references count="1">
          <reference field="1" count="1" selected="0">
            <x v="11"/>
          </reference>
        </references>
      </pivotArea>
    </chartFormat>
    <chartFormat chart="1" format="14" series="1">
      <pivotArea type="data" outline="0" fieldPosition="0">
        <references count="1">
          <reference field="1" count="1" selected="0">
            <x v="12"/>
          </reference>
        </references>
      </pivotArea>
    </chartFormat>
    <chartFormat chart="1" format="15" series="1">
      <pivotArea type="data" outline="0" fieldPosition="0">
        <references count="1">
          <reference field="1" count="1" selected="0">
            <x v="13"/>
          </reference>
        </references>
      </pivotArea>
    </chartFormat>
    <chartFormat chart="1" format="16" series="1">
      <pivotArea type="data" outline="0" fieldPosition="0">
        <references count="1">
          <reference field="1" count="1" selected="0">
            <x v="14"/>
          </reference>
        </references>
      </pivotArea>
    </chartFormat>
    <chartFormat chart="1" format="17" series="1">
      <pivotArea type="data" outline="0" fieldPosition="0">
        <references count="1">
          <reference field="1" count="1" selected="0">
            <x v="15"/>
          </reference>
        </references>
      </pivotArea>
    </chartFormat>
    <chartFormat chart="1" format="18" series="1">
      <pivotArea type="data" outline="0" fieldPosition="0">
        <references count="1">
          <reference field="1" count="1" selected="0">
            <x v="16"/>
          </reference>
        </references>
      </pivotArea>
    </chartFormat>
    <chartFormat chart="1" format="19" series="1">
      <pivotArea type="data" outline="0" fieldPosition="0">
        <references count="1">
          <reference field="1" count="1" selected="0">
            <x v="17"/>
          </reference>
        </references>
      </pivotArea>
    </chartFormat>
    <chartFormat chart="1" format="20" series="1">
      <pivotArea type="data" outline="0" fieldPosition="0">
        <references count="1">
          <reference field="1" count="1" selected="0">
            <x v="18"/>
          </reference>
        </references>
      </pivotArea>
    </chartFormat>
    <chartFormat chart="1" format="21" series="1">
      <pivotArea type="data" outline="0" fieldPosition="0">
        <references count="1">
          <reference field="1" count="1" selected="0">
            <x v="19"/>
          </reference>
        </references>
      </pivotArea>
    </chartFormat>
    <chartFormat chart="1" format="22" series="1">
      <pivotArea type="data" outline="0" fieldPosition="0">
        <references count="1">
          <reference field="1" count="1" selected="0">
            <x v="20"/>
          </reference>
        </references>
      </pivotArea>
    </chartFormat>
    <chartFormat chart="1" format="23" series="1">
      <pivotArea type="data" outline="0" fieldPosition="0">
        <references count="1">
          <reference field="1" count="1" selected="0">
            <x v="21"/>
          </reference>
        </references>
      </pivotArea>
    </chartFormat>
    <chartFormat chart="1" format="24" series="1">
      <pivotArea type="data" outline="0" fieldPosition="0">
        <references count="1">
          <reference field="1" count="1" selected="0">
            <x v="22"/>
          </reference>
        </references>
      </pivotArea>
    </chartFormat>
    <chartFormat chart="1" format="25" series="1">
      <pivotArea type="data" outline="0" fieldPosition="0">
        <references count="1">
          <reference field="1" count="1" selected="0">
            <x v="23"/>
          </reference>
        </references>
      </pivotArea>
    </chartFormat>
    <chartFormat chart="1" format="26" series="1">
      <pivotArea type="data" outline="0" fieldPosition="0">
        <references count="1">
          <reference field="1" count="1" selected="0">
            <x v="24"/>
          </reference>
        </references>
      </pivotArea>
    </chartFormat>
    <chartFormat chart="1" format="27" series="1">
      <pivotArea type="data" outline="0" fieldPosition="0">
        <references count="1">
          <reference field="1" count="1" selected="0">
            <x v="25"/>
          </reference>
        </references>
      </pivotArea>
    </chartFormat>
    <chartFormat chart="1" format="28" series="1">
      <pivotArea type="data" outline="0" fieldPosition="0">
        <references count="1">
          <reference field="1" count="1" selected="0">
            <x v="26"/>
          </reference>
        </references>
      </pivotArea>
    </chartFormat>
    <chartFormat chart="1" format="29" series="1">
      <pivotArea type="data" outline="0" fieldPosition="0">
        <references count="1">
          <reference field="1" count="1" selected="0">
            <x v="27"/>
          </reference>
        </references>
      </pivotArea>
    </chartFormat>
    <chartFormat chart="1" format="30" series="1">
      <pivotArea type="data" outline="0" fieldPosition="0">
        <references count="1">
          <reference field="1" count="1" selected="0">
            <x v="28"/>
          </reference>
        </references>
      </pivotArea>
    </chartFormat>
    <chartFormat chart="1" format="31" series="1">
      <pivotArea type="data" outline="0" fieldPosition="0">
        <references count="1">
          <reference field="1" count="1" selected="0">
            <x v="29"/>
          </reference>
        </references>
      </pivotArea>
    </chartFormat>
    <chartFormat chart="1" format="32" series="1">
      <pivotArea type="data" outline="0" fieldPosition="0">
        <references count="1">
          <reference field="1" count="1" selected="0">
            <x v="30"/>
          </reference>
        </references>
      </pivotArea>
    </chartFormat>
    <chartFormat chart="1" format="33" series="1">
      <pivotArea type="data" outline="0" fieldPosition="0">
        <references count="1">
          <reference field="1" count="1" selected="0">
            <x v="31"/>
          </reference>
        </references>
      </pivotArea>
    </chartFormat>
    <chartFormat chart="1" format="34" series="1">
      <pivotArea type="data" outline="0" fieldPosition="0">
        <references count="1">
          <reference field="1" count="1" selected="0">
            <x v="32"/>
          </reference>
        </references>
      </pivotArea>
    </chartFormat>
    <chartFormat chart="1" format="35" series="1">
      <pivotArea type="data" outline="0" fieldPosition="0">
        <references count="1">
          <reference field="1" count="1" selected="0">
            <x v="33"/>
          </reference>
        </references>
      </pivotArea>
    </chartFormat>
    <chartFormat chart="1" format="36" series="1">
      <pivotArea type="data" outline="0" fieldPosition="0">
        <references count="1">
          <reference field="1" count="1" selected="0">
            <x v="34"/>
          </reference>
        </references>
      </pivotArea>
    </chartFormat>
    <chartFormat chart="1" format="37" series="1">
      <pivotArea type="data" outline="0" fieldPosition="0">
        <references count="1">
          <reference field="1" count="1" selected="0">
            <x v="35"/>
          </reference>
        </references>
      </pivotArea>
    </chartFormat>
    <chartFormat chart="1" format="38" series="1">
      <pivotArea type="data" outline="0" fieldPosition="0">
        <references count="1">
          <reference field="1" count="1" selected="0">
            <x v="36"/>
          </reference>
        </references>
      </pivotArea>
    </chartFormat>
    <chartFormat chart="1" format="39" series="1">
      <pivotArea type="data" outline="0" fieldPosition="0">
        <references count="1">
          <reference field="1" count="1" selected="0">
            <x v="37"/>
          </reference>
        </references>
      </pivotArea>
    </chartFormat>
    <chartFormat chart="1" format="40" series="1">
      <pivotArea type="data" outline="0" fieldPosition="0">
        <references count="1">
          <reference field="1" count="1" selected="0">
            <x v="38"/>
          </reference>
        </references>
      </pivotArea>
    </chartFormat>
    <chartFormat chart="1" format="41" series="1">
      <pivotArea type="data" outline="0" fieldPosition="0">
        <references count="1">
          <reference field="1" count="1" selected="0">
            <x v="39"/>
          </reference>
        </references>
      </pivotArea>
    </chartFormat>
    <chartFormat chart="1" format="42" series="1">
      <pivotArea type="data" outline="0" fieldPosition="0">
        <references count="1">
          <reference field="1" count="1" selected="0">
            <x v="40"/>
          </reference>
        </references>
      </pivotArea>
    </chartFormat>
    <chartFormat chart="1" format="43" series="1">
      <pivotArea type="data" outline="0" fieldPosition="0">
        <references count="1">
          <reference field="1" count="1" selected="0">
            <x v="41"/>
          </reference>
        </references>
      </pivotArea>
    </chartFormat>
    <chartFormat chart="1" format="44" series="1">
      <pivotArea type="data" outline="0" fieldPosition="0">
        <references count="1">
          <reference field="1" count="1" selected="0">
            <x v="42"/>
          </reference>
        </references>
      </pivotArea>
    </chartFormat>
    <chartFormat chart="1" format="45" series="1">
      <pivotArea type="data" outline="0" fieldPosition="0">
        <references count="1">
          <reference field="1" count="1" selected="0">
            <x v="43"/>
          </reference>
        </references>
      </pivotArea>
    </chartFormat>
    <chartFormat chart="1" format="46" series="1">
      <pivotArea type="data" outline="0" fieldPosition="0">
        <references count="1">
          <reference field="1" count="1" selected="0">
            <x v="44"/>
          </reference>
        </references>
      </pivotArea>
    </chartFormat>
    <chartFormat chart="1" format="47" series="1">
      <pivotArea type="data" outline="0" fieldPosition="0">
        <references count="1">
          <reference field="1" count="1" selected="0">
            <x v="45"/>
          </reference>
        </references>
      </pivotArea>
    </chartFormat>
    <chartFormat chart="1" format="48" series="1">
      <pivotArea type="data" outline="0" fieldPosition="0">
        <references count="1">
          <reference field="1" count="1" selected="0">
            <x v="46"/>
          </reference>
        </references>
      </pivotArea>
    </chartFormat>
    <chartFormat chart="1" format="49" series="1">
      <pivotArea type="data" outline="0" fieldPosition="0">
        <references count="1">
          <reference field="1" count="1" selected="0">
            <x v="47"/>
          </reference>
        </references>
      </pivotArea>
    </chartFormat>
    <chartFormat chart="1" format="50" series="1">
      <pivotArea type="data" outline="0" fieldPosition="0">
        <references count="1">
          <reference field="1" count="1" selected="0">
            <x v="48"/>
          </reference>
        </references>
      </pivotArea>
    </chartFormat>
    <chartFormat chart="1" format="51" series="1">
      <pivotArea type="data" outline="0" fieldPosition="0">
        <references count="1">
          <reference field="1" count="1" selected="0">
            <x v="49"/>
          </reference>
        </references>
      </pivotArea>
    </chartFormat>
    <chartFormat chart="1" format="52" series="1">
      <pivotArea type="data" outline="0" fieldPosition="0">
        <references count="1">
          <reference field="1" count="1" selected="0">
            <x v="50"/>
          </reference>
        </references>
      </pivotArea>
    </chartFormat>
    <chartFormat chart="1" format="53" series="1">
      <pivotArea type="data" outline="0" fieldPosition="0">
        <references count="1">
          <reference field="1" count="1" selected="0">
            <x v="51"/>
          </reference>
        </references>
      </pivotArea>
    </chartFormat>
    <chartFormat chart="1" format="54" series="1">
      <pivotArea type="data" outline="0" fieldPosition="0">
        <references count="1">
          <reference field="1" count="1" selected="0">
            <x v="52"/>
          </reference>
        </references>
      </pivotArea>
    </chartFormat>
    <chartFormat chart="1" format="55" series="1">
      <pivotArea type="data" outline="0" fieldPosition="0">
        <references count="1">
          <reference field="1" count="1" selected="0">
            <x v="53"/>
          </reference>
        </references>
      </pivotArea>
    </chartFormat>
    <chartFormat chart="1" format="56" series="1">
      <pivotArea type="data" outline="0" fieldPosition="0">
        <references count="1">
          <reference field="1" count="1" selected="0">
            <x v="54"/>
          </reference>
        </references>
      </pivotArea>
    </chartFormat>
    <chartFormat chart="1" format="57" series="1">
      <pivotArea type="data" outline="0" fieldPosition="0">
        <references count="1">
          <reference field="1" count="1" selected="0">
            <x v="55"/>
          </reference>
        </references>
      </pivotArea>
    </chartFormat>
    <chartFormat chart="1" format="58" series="1">
      <pivotArea type="data" outline="0" fieldPosition="0">
        <references count="1">
          <reference field="1" count="1" selected="0">
            <x v="56"/>
          </reference>
        </references>
      </pivotArea>
    </chartFormat>
    <chartFormat chart="1" format="59" series="1">
      <pivotArea type="data" outline="0" fieldPosition="0">
        <references count="1">
          <reference field="1" count="1" selected="0">
            <x v="57"/>
          </reference>
        </references>
      </pivotArea>
    </chartFormat>
    <chartFormat chart="1" format="60" series="1">
      <pivotArea type="data" outline="0" fieldPosition="0">
        <references count="1">
          <reference field="1" count="1" selected="0">
            <x v="58"/>
          </reference>
        </references>
      </pivotArea>
    </chartFormat>
    <chartFormat chart="1" format="61" series="1">
      <pivotArea type="data" outline="0" fieldPosition="0">
        <references count="1">
          <reference field="1" count="1" selected="0">
            <x v="59"/>
          </reference>
        </references>
      </pivotArea>
    </chartFormat>
    <chartFormat chart="1" format="62" series="1">
      <pivotArea type="data" outline="0" fieldPosition="0">
        <references count="1">
          <reference field="1" count="1" selected="0">
            <x v="60"/>
          </reference>
        </references>
      </pivotArea>
    </chartFormat>
    <chartFormat chart="1" format="63" series="1">
      <pivotArea type="data" outline="0" fieldPosition="0">
        <references count="1">
          <reference field="1" count="1" selected="0">
            <x v="61"/>
          </reference>
        </references>
      </pivotArea>
    </chartFormat>
    <chartFormat chart="1" format="64" series="1">
      <pivotArea type="data" outline="0" fieldPosition="0">
        <references count="1">
          <reference field="1" count="1" selected="0">
            <x v="62"/>
          </reference>
        </references>
      </pivotArea>
    </chartFormat>
    <chartFormat chart="1" format="65" series="1">
      <pivotArea type="data" outline="0" fieldPosition="0">
        <references count="1">
          <reference field="1" count="1" selected="0">
            <x v="63"/>
          </reference>
        </references>
      </pivotArea>
    </chartFormat>
    <chartFormat chart="1" format="66" series="1">
      <pivotArea type="data" outline="0" fieldPosition="0">
        <references count="1">
          <reference field="1" count="1" selected="0">
            <x v="64"/>
          </reference>
        </references>
      </pivotArea>
    </chartFormat>
    <chartFormat chart="1" format="67" series="1">
      <pivotArea type="data" outline="0" fieldPosition="0">
        <references count="1">
          <reference field="1" count="1" selected="0">
            <x v="65"/>
          </reference>
        </references>
      </pivotArea>
    </chartFormat>
    <chartFormat chart="1" format="68" series="1">
      <pivotArea type="data" outline="0" fieldPosition="0">
        <references count="1">
          <reference field="1" count="1" selected="0">
            <x v="66"/>
          </reference>
        </references>
      </pivotArea>
    </chartFormat>
    <chartFormat chart="1" format="69" series="1">
      <pivotArea type="data" outline="0" fieldPosition="0">
        <references count="1">
          <reference field="1" count="1" selected="0">
            <x v="67"/>
          </reference>
        </references>
      </pivotArea>
    </chartFormat>
    <chartFormat chart="1" format="70" series="1">
      <pivotArea type="data" outline="0" fieldPosition="0">
        <references count="1">
          <reference field="1" count="1" selected="0">
            <x v="68"/>
          </reference>
        </references>
      </pivotArea>
    </chartFormat>
    <chartFormat chart="1" format="71" series="1">
      <pivotArea type="data" outline="0" fieldPosition="0">
        <references count="1">
          <reference field="1" count="1" selected="0">
            <x v="69"/>
          </reference>
        </references>
      </pivotArea>
    </chartFormat>
    <chartFormat chart="1" format="72" series="1">
      <pivotArea type="data" outline="0" fieldPosition="0">
        <references count="1">
          <reference field="1" count="1" selected="0">
            <x v="70"/>
          </reference>
        </references>
      </pivotArea>
    </chartFormat>
    <chartFormat chart="1" format="73" series="1">
      <pivotArea type="data" outline="0" fieldPosition="0">
        <references count="1">
          <reference field="1" count="1" selected="0">
            <x v="71"/>
          </reference>
        </references>
      </pivotArea>
    </chartFormat>
    <chartFormat chart="1" format="74" series="1">
      <pivotArea type="data" outline="0" fieldPosition="0">
        <references count="1">
          <reference field="1" count="1" selected="0">
            <x v="72"/>
          </reference>
        </references>
      </pivotArea>
    </chartFormat>
    <chartFormat chart="1" format="75" series="1">
      <pivotArea type="data" outline="0" fieldPosition="0">
        <references count="1">
          <reference field="1" count="1" selected="0">
            <x v="73"/>
          </reference>
        </references>
      </pivotArea>
    </chartFormat>
    <chartFormat chart="1" format="76" series="1">
      <pivotArea type="data" outline="0" fieldPosition="0">
        <references count="1">
          <reference field="1" count="1" selected="0">
            <x v="74"/>
          </reference>
        </references>
      </pivotArea>
    </chartFormat>
    <chartFormat chart="1" format="77" series="1">
      <pivotArea type="data" outline="0" fieldPosition="0">
        <references count="1">
          <reference field="1" count="1" selected="0">
            <x v="75"/>
          </reference>
        </references>
      </pivotArea>
    </chartFormat>
    <chartFormat chart="1" format="78" series="1">
      <pivotArea type="data" outline="0" fieldPosition="0">
        <references count="1">
          <reference field="1" count="1" selected="0">
            <x v="76"/>
          </reference>
        </references>
      </pivotArea>
    </chartFormat>
    <chartFormat chart="1" format="79" series="1">
      <pivotArea type="data" outline="0" fieldPosition="0">
        <references count="1">
          <reference field="1" count="1" selected="0">
            <x v="77"/>
          </reference>
        </references>
      </pivotArea>
    </chartFormat>
    <chartFormat chart="1" format="80" series="1">
      <pivotArea type="data" outline="0" fieldPosition="0">
        <references count="1">
          <reference field="1" count="1" selected="0">
            <x v="78"/>
          </reference>
        </references>
      </pivotArea>
    </chartFormat>
    <chartFormat chart="1" format="81" series="1">
      <pivotArea type="data" outline="0" fieldPosition="0">
        <references count="1">
          <reference field="1" count="1" selected="0">
            <x v="79"/>
          </reference>
        </references>
      </pivotArea>
    </chartFormat>
    <chartFormat chart="1" format="82" series="1">
      <pivotArea type="data" outline="0" fieldPosition="0">
        <references count="1">
          <reference field="1" count="1" selected="0">
            <x v="80"/>
          </reference>
        </references>
      </pivotArea>
    </chartFormat>
    <chartFormat chart="1" format="83" series="1">
      <pivotArea type="data" outline="0" fieldPosition="0">
        <references count="1">
          <reference field="1" count="1" selected="0">
            <x v="81"/>
          </reference>
        </references>
      </pivotArea>
    </chartFormat>
    <chartFormat chart="1" format="84" series="1">
      <pivotArea type="data" outline="0" fieldPosition="0">
        <references count="1">
          <reference field="1" count="1" selected="0">
            <x v="82"/>
          </reference>
        </references>
      </pivotArea>
    </chartFormat>
    <chartFormat chart="1" format="85" series="1">
      <pivotArea type="data" outline="0" fieldPosition="0">
        <references count="1">
          <reference field="1" count="1" selected="0">
            <x v="83"/>
          </reference>
        </references>
      </pivotArea>
    </chartFormat>
    <chartFormat chart="1" format="86" series="1">
      <pivotArea type="data" outline="0" fieldPosition="0">
        <references count="1">
          <reference field="1" count="1" selected="0">
            <x v="84"/>
          </reference>
        </references>
      </pivotArea>
    </chartFormat>
    <chartFormat chart="1" format="87" series="1">
      <pivotArea type="data" outline="0" fieldPosition="0">
        <references count="1">
          <reference field="1" count="1" selected="0">
            <x v="85"/>
          </reference>
        </references>
      </pivotArea>
    </chartFormat>
    <chartFormat chart="1" format="88" series="1">
      <pivotArea type="data" outline="0" fieldPosition="0">
        <references count="1">
          <reference field="1" count="1" selected="0">
            <x v="86"/>
          </reference>
        </references>
      </pivotArea>
    </chartFormat>
    <chartFormat chart="1" format="89" series="1">
      <pivotArea type="data" outline="0" fieldPosition="0">
        <references count="1">
          <reference field="1" count="1" selected="0">
            <x v="87"/>
          </reference>
        </references>
      </pivotArea>
    </chartFormat>
    <chartFormat chart="1" format="90" series="1">
      <pivotArea type="data" outline="0" fieldPosition="0">
        <references count="1">
          <reference field="1" count="1" selected="0">
            <x v="88"/>
          </reference>
        </references>
      </pivotArea>
    </chartFormat>
    <chartFormat chart="1" format="91" series="1">
      <pivotArea type="data" outline="0" fieldPosition="0">
        <references count="1">
          <reference field="1" count="1" selected="0">
            <x v="89"/>
          </reference>
        </references>
      </pivotArea>
    </chartFormat>
    <chartFormat chart="1" format="92" series="1">
      <pivotArea type="data" outline="0" fieldPosition="0">
        <references count="1">
          <reference field="1" count="1" selected="0">
            <x v="90"/>
          </reference>
        </references>
      </pivotArea>
    </chartFormat>
    <chartFormat chart="1" format="93" series="1">
      <pivotArea type="data" outline="0" fieldPosition="0">
        <references count="1">
          <reference field="1" count="1" selected="0">
            <x v="91"/>
          </reference>
        </references>
      </pivotArea>
    </chartFormat>
    <chartFormat chart="1" format="94" series="1">
      <pivotArea type="data" outline="0" fieldPosition="0">
        <references count="1">
          <reference field="1" count="1" selected="0">
            <x v="92"/>
          </reference>
        </references>
      </pivotArea>
    </chartFormat>
    <chartFormat chart="1" format="95" series="1">
      <pivotArea type="data" outline="0" fieldPosition="0">
        <references count="1">
          <reference field="1" count="1" selected="0">
            <x v="93"/>
          </reference>
        </references>
      </pivotArea>
    </chartFormat>
    <chartFormat chart="1" format="96" series="1">
      <pivotArea type="data" outline="0" fieldPosition="0">
        <references count="1">
          <reference field="1" count="1" selected="0">
            <x v="94"/>
          </reference>
        </references>
      </pivotArea>
    </chartFormat>
    <chartFormat chart="1" format="97" series="1">
      <pivotArea type="data" outline="0" fieldPosition="0">
        <references count="1">
          <reference field="1" count="1" selected="0">
            <x v="95"/>
          </reference>
        </references>
      </pivotArea>
    </chartFormat>
    <chartFormat chart="1" format="98" series="1">
      <pivotArea type="data" outline="0" fieldPosition="0">
        <references count="1">
          <reference field="1" count="1" selected="0">
            <x v="96"/>
          </reference>
        </references>
      </pivotArea>
    </chartFormat>
    <chartFormat chart="1" format="99" series="1">
      <pivotArea type="data" outline="0" fieldPosition="0">
        <references count="1">
          <reference field="1" count="1" selected="0">
            <x v="97"/>
          </reference>
        </references>
      </pivotArea>
    </chartFormat>
    <chartFormat chart="1" format="100" series="1">
      <pivotArea type="data" outline="0" fieldPosition="0">
        <references count="1">
          <reference field="1" count="1" selected="0">
            <x v="98"/>
          </reference>
        </references>
      </pivotArea>
    </chartFormat>
    <chartFormat chart="1" format="101" series="1">
      <pivotArea type="data" outline="0" fieldPosition="0">
        <references count="1">
          <reference field="1" count="1" selected="0">
            <x v="99"/>
          </reference>
        </references>
      </pivotArea>
    </chartFormat>
    <chartFormat chart="1" format="102" series="1">
      <pivotArea type="data" outline="0" fieldPosition="0">
        <references count="1">
          <reference field="1" count="1" selected="0">
            <x v="100"/>
          </reference>
        </references>
      </pivotArea>
    </chartFormat>
    <chartFormat chart="1" format="103" series="1">
      <pivotArea type="data" outline="0" fieldPosition="0">
        <references count="1">
          <reference field="1" count="1" selected="0">
            <x v="101"/>
          </reference>
        </references>
      </pivotArea>
    </chartFormat>
    <chartFormat chart="1" format="104" series="1">
      <pivotArea type="data" outline="0" fieldPosition="0">
        <references count="1">
          <reference field="1" count="1" selected="0">
            <x v="102"/>
          </reference>
        </references>
      </pivotArea>
    </chartFormat>
    <chartFormat chart="1" format="105" series="1">
      <pivotArea type="data" outline="0" fieldPosition="0">
        <references count="1">
          <reference field="1" count="1" selected="0">
            <x v="103"/>
          </reference>
        </references>
      </pivotArea>
    </chartFormat>
    <chartFormat chart="1" format="106" series="1">
      <pivotArea type="data" outline="0" fieldPosition="0">
        <references count="1">
          <reference field="1" count="1" selected="0">
            <x v="104"/>
          </reference>
        </references>
      </pivotArea>
    </chartFormat>
    <chartFormat chart="1" format="107" series="1">
      <pivotArea type="data" outline="0" fieldPosition="0">
        <references count="1">
          <reference field="1" count="1" selected="0">
            <x v="105"/>
          </reference>
        </references>
      </pivotArea>
    </chartFormat>
    <chartFormat chart="1" format="108" series="1">
      <pivotArea type="data" outline="0" fieldPosition="0">
        <references count="1">
          <reference field="1" count="1" selected="0">
            <x v="106"/>
          </reference>
        </references>
      </pivotArea>
    </chartFormat>
    <chartFormat chart="1" format="109" series="1">
      <pivotArea type="data" outline="0" fieldPosition="0">
        <references count="1">
          <reference field="1" count="1" selected="0">
            <x v="107"/>
          </reference>
        </references>
      </pivotArea>
    </chartFormat>
    <chartFormat chart="1" format="110" series="1">
      <pivotArea type="data" outline="0" fieldPosition="0">
        <references count="1">
          <reference field="1" count="1" selected="0">
            <x v="108"/>
          </reference>
        </references>
      </pivotArea>
    </chartFormat>
    <chartFormat chart="1" format="111" series="1">
      <pivotArea type="data" outline="0" fieldPosition="0">
        <references count="1">
          <reference field="1" count="1" selected="0">
            <x v="109"/>
          </reference>
        </references>
      </pivotArea>
    </chartFormat>
    <chartFormat chart="1" format="112" series="1">
      <pivotArea type="data" outline="0" fieldPosition="0">
        <references count="1">
          <reference field="1" count="1" selected="0">
            <x v="110"/>
          </reference>
        </references>
      </pivotArea>
    </chartFormat>
    <chartFormat chart="1" format="113" series="1">
      <pivotArea type="data" outline="0" fieldPosition="0">
        <references count="1">
          <reference field="1" count="1" selected="0">
            <x v="111"/>
          </reference>
        </references>
      </pivotArea>
    </chartFormat>
    <chartFormat chart="1" format="114" series="1">
      <pivotArea type="data" outline="0" fieldPosition="0">
        <references count="1">
          <reference field="1" count="1" selected="0">
            <x v="112"/>
          </reference>
        </references>
      </pivotArea>
    </chartFormat>
    <chartFormat chart="1" format="115" series="1">
      <pivotArea type="data" outline="0" fieldPosition="0">
        <references count="1">
          <reference field="1" count="1" selected="0">
            <x v="113"/>
          </reference>
        </references>
      </pivotArea>
    </chartFormat>
    <chartFormat chart="1" format="116" series="1">
      <pivotArea type="data" outline="0" fieldPosition="0">
        <references count="1">
          <reference field="1" count="1" selected="0">
            <x v="114"/>
          </reference>
        </references>
      </pivotArea>
    </chartFormat>
    <chartFormat chart="1" format="117" series="1">
      <pivotArea type="data" outline="0" fieldPosition="0">
        <references count="1">
          <reference field="1" count="1" selected="0">
            <x v="115"/>
          </reference>
        </references>
      </pivotArea>
    </chartFormat>
    <chartFormat chart="1" format="118" series="1">
      <pivotArea type="data" outline="0" fieldPosition="0">
        <references count="1">
          <reference field="1" count="1" selected="0">
            <x v="116"/>
          </reference>
        </references>
      </pivotArea>
    </chartFormat>
    <chartFormat chart="1" format="119" series="1">
      <pivotArea type="data" outline="0" fieldPosition="0">
        <references count="1">
          <reference field="1" count="1" selected="0">
            <x v="117"/>
          </reference>
        </references>
      </pivotArea>
    </chartFormat>
    <chartFormat chart="1" format="120" series="1">
      <pivotArea type="data" outline="0" fieldPosition="0">
        <references count="1">
          <reference field="1" count="1" selected="0">
            <x v="118"/>
          </reference>
        </references>
      </pivotArea>
    </chartFormat>
    <chartFormat chart="1" format="121" series="1">
      <pivotArea type="data" outline="0" fieldPosition="0">
        <references count="1">
          <reference field="1" count="1" selected="0">
            <x v="119"/>
          </reference>
        </references>
      </pivotArea>
    </chartFormat>
    <chartFormat chart="1" format="122" series="1">
      <pivotArea type="data" outline="0" fieldPosition="0">
        <references count="1">
          <reference field="1" count="1" selected="0">
            <x v="120"/>
          </reference>
        </references>
      </pivotArea>
    </chartFormat>
    <chartFormat chart="1" format="123" series="1">
      <pivotArea type="data" outline="0" fieldPosition="0">
        <references count="1">
          <reference field="1" count="1" selected="0">
            <x v="121"/>
          </reference>
        </references>
      </pivotArea>
    </chartFormat>
    <chartFormat chart="1" format="124" series="1">
      <pivotArea type="data" outline="0" fieldPosition="0">
        <references count="1">
          <reference field="1" count="1" selected="0">
            <x v="122"/>
          </reference>
        </references>
      </pivotArea>
    </chartFormat>
    <chartFormat chart="1" format="125" series="1">
      <pivotArea type="data" outline="0" fieldPosition="0">
        <references count="1">
          <reference field="1" count="1" selected="0">
            <x v="123"/>
          </reference>
        </references>
      </pivotArea>
    </chartFormat>
    <chartFormat chart="1" format="126" series="1">
      <pivotArea type="data" outline="0" fieldPosition="0">
        <references count="1">
          <reference field="1" count="1" selected="0">
            <x v="124"/>
          </reference>
        </references>
      </pivotArea>
    </chartFormat>
    <chartFormat chart="1" format="127" series="1">
      <pivotArea type="data" outline="0" fieldPosition="0">
        <references count="1">
          <reference field="1" count="1" selected="0">
            <x v="125"/>
          </reference>
        </references>
      </pivotArea>
    </chartFormat>
    <chartFormat chart="1" format="128" series="1">
      <pivotArea type="data" outline="0" fieldPosition="0">
        <references count="1">
          <reference field="1" count="1" selected="0">
            <x v="126"/>
          </reference>
        </references>
      </pivotArea>
    </chartFormat>
    <chartFormat chart="1" format="129" series="1">
      <pivotArea type="data" outline="0" fieldPosition="0">
        <references count="1">
          <reference field="1" count="1" selected="0">
            <x v="127"/>
          </reference>
        </references>
      </pivotArea>
    </chartFormat>
    <chartFormat chart="1" format="130" series="1">
      <pivotArea type="data" outline="0" fieldPosition="0">
        <references count="1">
          <reference field="1" count="1" selected="0">
            <x v="128"/>
          </reference>
        </references>
      </pivotArea>
    </chartFormat>
    <chartFormat chart="1" format="131" series="1">
      <pivotArea type="data" outline="0" fieldPosition="0">
        <references count="1">
          <reference field="1" count="1" selected="0">
            <x v="129"/>
          </reference>
        </references>
      </pivotArea>
    </chartFormat>
    <chartFormat chart="1" format="132" series="1">
      <pivotArea type="data" outline="0" fieldPosition="0">
        <references count="1">
          <reference field="1" count="1" selected="0">
            <x v="130"/>
          </reference>
        </references>
      </pivotArea>
    </chartFormat>
    <chartFormat chart="1" format="133" series="1">
      <pivotArea type="data" outline="0" fieldPosition="0">
        <references count="1">
          <reference field="1" count="1" selected="0">
            <x v="131"/>
          </reference>
        </references>
      </pivotArea>
    </chartFormat>
    <chartFormat chart="1" format="134" series="1">
      <pivotArea type="data" outline="0" fieldPosition="0">
        <references count="1">
          <reference field="1" count="1" selected="0">
            <x v="132"/>
          </reference>
        </references>
      </pivotArea>
    </chartFormat>
    <chartFormat chart="1" format="135" series="1">
      <pivotArea type="data" outline="0" fieldPosition="0">
        <references count="1">
          <reference field="1" count="1" selected="0">
            <x v="133"/>
          </reference>
        </references>
      </pivotArea>
    </chartFormat>
    <chartFormat chart="1" format="136" series="1">
      <pivotArea type="data" outline="0" fieldPosition="0">
        <references count="1">
          <reference field="1" count="1" selected="0">
            <x v="134"/>
          </reference>
        </references>
      </pivotArea>
    </chartFormat>
    <chartFormat chart="1" format="137" series="1">
      <pivotArea type="data" outline="0" fieldPosition="0">
        <references count="1">
          <reference field="1" count="1" selected="0">
            <x v="135"/>
          </reference>
        </references>
      </pivotArea>
    </chartFormat>
    <chartFormat chart="1" format="138" series="1">
      <pivotArea type="data" outline="0" fieldPosition="0">
        <references count="1">
          <reference field="1" count="1" selected="0">
            <x v="136"/>
          </reference>
        </references>
      </pivotArea>
    </chartFormat>
    <chartFormat chart="1" format="139" series="1">
      <pivotArea type="data" outline="0" fieldPosition="0">
        <references count="1">
          <reference field="1" count="1" selected="0">
            <x v="137"/>
          </reference>
        </references>
      </pivotArea>
    </chartFormat>
    <chartFormat chart="1" format="140" series="1">
      <pivotArea type="data" outline="0" fieldPosition="0">
        <references count="1">
          <reference field="1" count="1" selected="0">
            <x v="138"/>
          </reference>
        </references>
      </pivotArea>
    </chartFormat>
    <chartFormat chart="1" format="141" series="1">
      <pivotArea type="data" outline="0" fieldPosition="0">
        <references count="1">
          <reference field="1" count="1" selected="0">
            <x v="139"/>
          </reference>
        </references>
      </pivotArea>
    </chartFormat>
    <chartFormat chart="1" format="142" series="1">
      <pivotArea type="data" outline="0" fieldPosition="0">
        <references count="1">
          <reference field="1" count="1" selected="0">
            <x v="140"/>
          </reference>
        </references>
      </pivotArea>
    </chartFormat>
    <chartFormat chart="1" format="143" series="1">
      <pivotArea type="data" outline="0" fieldPosition="0">
        <references count="1">
          <reference field="1" count="1" selected="0">
            <x v="141"/>
          </reference>
        </references>
      </pivotArea>
    </chartFormat>
    <chartFormat chart="1" format="144" series="1">
      <pivotArea type="data" outline="0" fieldPosition="0">
        <references count="1">
          <reference field="1" count="1" selected="0">
            <x v="142"/>
          </reference>
        </references>
      </pivotArea>
    </chartFormat>
    <chartFormat chart="1" format="145" series="1">
      <pivotArea type="data" outline="0" fieldPosition="0">
        <references count="1">
          <reference field="1" count="1" selected="0">
            <x v="143"/>
          </reference>
        </references>
      </pivotArea>
    </chartFormat>
    <chartFormat chart="1" format="146" series="1">
      <pivotArea type="data" outline="0" fieldPosition="0">
        <references count="1">
          <reference field="1" count="1" selected="0">
            <x v="144"/>
          </reference>
        </references>
      </pivotArea>
    </chartFormat>
    <chartFormat chart="1" format="147" series="1">
      <pivotArea type="data" outline="0" fieldPosition="0">
        <references count="1">
          <reference field="1" count="1" selected="0">
            <x v="145"/>
          </reference>
        </references>
      </pivotArea>
    </chartFormat>
    <chartFormat chart="1" format="148" series="1">
      <pivotArea type="data" outline="0" fieldPosition="0">
        <references count="1">
          <reference field="1" count="1" selected="0">
            <x v="146"/>
          </reference>
        </references>
      </pivotArea>
    </chartFormat>
    <chartFormat chart="1" format="149" series="1">
      <pivotArea type="data" outline="0" fieldPosition="0">
        <references count="1">
          <reference field="1" count="1" selected="0">
            <x v="147"/>
          </reference>
        </references>
      </pivotArea>
    </chartFormat>
    <chartFormat chart="1" format="150" series="1">
      <pivotArea type="data" outline="0" fieldPosition="0">
        <references count="1">
          <reference field="1" count="1" selected="0">
            <x v="148"/>
          </reference>
        </references>
      </pivotArea>
    </chartFormat>
    <chartFormat chart="1" format="151" series="1">
      <pivotArea type="data" outline="0" fieldPosition="0">
        <references count="1">
          <reference field="1" count="1" selected="0">
            <x v="149"/>
          </reference>
        </references>
      </pivotArea>
    </chartFormat>
    <chartFormat chart="1" format="152" series="1">
      <pivotArea type="data" outline="0" fieldPosition="0">
        <references count="1">
          <reference field="1" count="1" selected="0">
            <x v="150"/>
          </reference>
        </references>
      </pivotArea>
    </chartFormat>
    <chartFormat chart="1" format="153" series="1">
      <pivotArea type="data" outline="0" fieldPosition="0">
        <references count="1">
          <reference field="1" count="1" selected="0">
            <x v="151"/>
          </reference>
        </references>
      </pivotArea>
    </chartFormat>
    <chartFormat chart="1" format="154" series="1">
      <pivotArea type="data" outline="0" fieldPosition="0">
        <references count="1">
          <reference field="1" count="1" selected="0">
            <x v="152"/>
          </reference>
        </references>
      </pivotArea>
    </chartFormat>
    <chartFormat chart="1" format="155" series="1">
      <pivotArea type="data" outline="0" fieldPosition="0">
        <references count="1">
          <reference field="1" count="1" selected="0">
            <x v="153"/>
          </reference>
        </references>
      </pivotArea>
    </chartFormat>
    <chartFormat chart="1" format="156" series="1">
      <pivotArea type="data" outline="0" fieldPosition="0">
        <references count="1">
          <reference field="1" count="1" selected="0">
            <x v="154"/>
          </reference>
        </references>
      </pivotArea>
    </chartFormat>
    <chartFormat chart="1" format="157" series="1">
      <pivotArea type="data" outline="0" fieldPosition="0">
        <references count="1">
          <reference field="1" count="1" selected="0">
            <x v="155"/>
          </reference>
        </references>
      </pivotArea>
    </chartFormat>
    <chartFormat chart="1" format="158" series="1">
      <pivotArea type="data" outline="0" fieldPosition="0">
        <references count="1">
          <reference field="1" count="1" selected="0">
            <x v="156"/>
          </reference>
        </references>
      </pivotArea>
    </chartFormat>
    <chartFormat chart="1" format="159" series="1">
      <pivotArea type="data" outline="0" fieldPosition="0">
        <references count="1">
          <reference field="1" count="1" selected="0">
            <x v="157"/>
          </reference>
        </references>
      </pivotArea>
    </chartFormat>
    <chartFormat chart="1" format="160" series="1">
      <pivotArea type="data" outline="0" fieldPosition="0">
        <references count="1">
          <reference field="1" count="1" selected="0">
            <x v="158"/>
          </reference>
        </references>
      </pivotArea>
    </chartFormat>
    <chartFormat chart="1" format="161" series="1">
      <pivotArea type="data" outline="0" fieldPosition="0">
        <references count="1">
          <reference field="1" count="1" selected="0">
            <x v="159"/>
          </reference>
        </references>
      </pivotArea>
    </chartFormat>
    <chartFormat chart="1" format="162" series="1">
      <pivotArea type="data" outline="0" fieldPosition="0">
        <references count="1">
          <reference field="1" count="1" selected="0">
            <x v="160"/>
          </reference>
        </references>
      </pivotArea>
    </chartFormat>
    <chartFormat chart="1" format="163" series="1">
      <pivotArea type="data" outline="0" fieldPosition="0">
        <references count="1">
          <reference field="1" count="1" selected="0">
            <x v="161"/>
          </reference>
        </references>
      </pivotArea>
    </chartFormat>
    <chartFormat chart="1" format="164" series="1">
      <pivotArea type="data" outline="0" fieldPosition="0">
        <references count="1">
          <reference field="1" count="1" selected="0">
            <x v="162"/>
          </reference>
        </references>
      </pivotArea>
    </chartFormat>
    <chartFormat chart="1" format="165" series="1">
      <pivotArea type="data" outline="0" fieldPosition="0">
        <references count="1">
          <reference field="1" count="1" selected="0">
            <x v="163"/>
          </reference>
        </references>
      </pivotArea>
    </chartFormat>
    <chartFormat chart="1" format="166" series="1">
      <pivotArea type="data" outline="0" fieldPosition="0">
        <references count="1">
          <reference field="1" count="1" selected="0">
            <x v="164"/>
          </reference>
        </references>
      </pivotArea>
    </chartFormat>
    <chartFormat chart="1" format="167" series="1">
      <pivotArea type="data" outline="0" fieldPosition="0">
        <references count="1">
          <reference field="1" count="1" selected="0">
            <x v="165"/>
          </reference>
        </references>
      </pivotArea>
    </chartFormat>
    <chartFormat chart="1" format="168" series="1">
      <pivotArea type="data" outline="0" fieldPosition="0">
        <references count="1">
          <reference field="1" count="1" selected="0">
            <x v="166"/>
          </reference>
        </references>
      </pivotArea>
    </chartFormat>
    <chartFormat chart="1" format="169" series="1">
      <pivotArea type="data" outline="0" fieldPosition="0">
        <references count="1">
          <reference field="1" count="1" selected="0">
            <x v="167"/>
          </reference>
        </references>
      </pivotArea>
    </chartFormat>
    <chartFormat chart="1" format="170" series="1">
      <pivotArea type="data" outline="0" fieldPosition="0">
        <references count="1">
          <reference field="1" count="1" selected="0">
            <x v="168"/>
          </reference>
        </references>
      </pivotArea>
    </chartFormat>
    <chartFormat chart="1" format="171" series="1">
      <pivotArea type="data" outline="0" fieldPosition="0">
        <references count="1">
          <reference field="1" count="1" selected="0">
            <x v="169"/>
          </reference>
        </references>
      </pivotArea>
    </chartFormat>
    <chartFormat chart="1" format="172" series="1">
      <pivotArea type="data" outline="0" fieldPosition="0">
        <references count="1">
          <reference field="1" count="1" selected="0">
            <x v="170"/>
          </reference>
        </references>
      </pivotArea>
    </chartFormat>
    <chartFormat chart="1" format="173" series="1">
      <pivotArea type="data" outline="0" fieldPosition="0">
        <references count="1">
          <reference field="1" count="1" selected="0">
            <x v="171"/>
          </reference>
        </references>
      </pivotArea>
    </chartFormat>
    <chartFormat chart="1" format="174" series="1">
      <pivotArea type="data" outline="0" fieldPosition="0">
        <references count="1">
          <reference field="1" count="1" selected="0">
            <x v="172"/>
          </reference>
        </references>
      </pivotArea>
    </chartFormat>
    <chartFormat chart="1" format="175" series="1">
      <pivotArea type="data" outline="0" fieldPosition="0">
        <references count="1">
          <reference field="1" count="1" selected="0">
            <x v="173"/>
          </reference>
        </references>
      </pivotArea>
    </chartFormat>
    <chartFormat chart="1" format="176" series="1">
      <pivotArea type="data" outline="0" fieldPosition="0">
        <references count="1">
          <reference field="1" count="1" selected="0">
            <x v="174"/>
          </reference>
        </references>
      </pivotArea>
    </chartFormat>
    <chartFormat chart="1" format="177" series="1">
      <pivotArea type="data" outline="0" fieldPosition="0">
        <references count="1">
          <reference field="1" count="1" selected="0">
            <x v="175"/>
          </reference>
        </references>
      </pivotArea>
    </chartFormat>
    <chartFormat chart="1" format="178" series="1">
      <pivotArea type="data" outline="0" fieldPosition="0">
        <references count="1">
          <reference field="1" count="1" selected="0">
            <x v="176"/>
          </reference>
        </references>
      </pivotArea>
    </chartFormat>
    <chartFormat chart="1" format="179" series="1">
      <pivotArea type="data" outline="0" fieldPosition="0">
        <references count="1">
          <reference field="1" count="1" selected="0">
            <x v="177"/>
          </reference>
        </references>
      </pivotArea>
    </chartFormat>
    <chartFormat chart="1" format="180" series="1">
      <pivotArea type="data" outline="0" fieldPosition="0">
        <references count="1">
          <reference field="1" count="1" selected="0">
            <x v="178"/>
          </reference>
        </references>
      </pivotArea>
    </chartFormat>
    <chartFormat chart="1" format="181" series="1">
      <pivotArea type="data" outline="0" fieldPosition="0">
        <references count="1">
          <reference field="1" count="1" selected="0">
            <x v="179"/>
          </reference>
        </references>
      </pivotArea>
    </chartFormat>
    <chartFormat chart="1" format="182" series="1">
      <pivotArea type="data" outline="0" fieldPosition="0">
        <references count="1">
          <reference field="1" count="1" selected="0">
            <x v="180"/>
          </reference>
        </references>
      </pivotArea>
    </chartFormat>
    <chartFormat chart="1" format="183" series="1">
      <pivotArea type="data" outline="0" fieldPosition="0">
        <references count="1">
          <reference field="1" count="1" selected="0">
            <x v="181"/>
          </reference>
        </references>
      </pivotArea>
    </chartFormat>
    <chartFormat chart="1" format="184" series="1">
      <pivotArea type="data" outline="0" fieldPosition="0">
        <references count="1">
          <reference field="1" count="1" selected="0">
            <x v="182"/>
          </reference>
        </references>
      </pivotArea>
    </chartFormat>
    <chartFormat chart="1" format="185" series="1">
      <pivotArea type="data" outline="0" fieldPosition="0">
        <references count="1">
          <reference field="1" count="1" selected="0">
            <x v="183"/>
          </reference>
        </references>
      </pivotArea>
    </chartFormat>
    <chartFormat chart="1" format="186" series="1">
      <pivotArea type="data" outline="0" fieldPosition="0">
        <references count="1">
          <reference field="1" count="1" selected="0">
            <x v="184"/>
          </reference>
        </references>
      </pivotArea>
    </chartFormat>
    <chartFormat chart="1" format="187" series="1">
      <pivotArea type="data" outline="0" fieldPosition="0">
        <references count="1">
          <reference field="1" count="1" selected="0">
            <x v="185"/>
          </reference>
        </references>
      </pivotArea>
    </chartFormat>
    <chartFormat chart="1" format="188" series="1">
      <pivotArea type="data" outline="0" fieldPosition="0">
        <references count="1">
          <reference field="1" count="1" selected="0">
            <x v="186"/>
          </reference>
        </references>
      </pivotArea>
    </chartFormat>
    <chartFormat chart="1" format="189" series="1">
      <pivotArea type="data" outline="0" fieldPosition="0">
        <references count="1">
          <reference field="1" count="1" selected="0">
            <x v="187"/>
          </reference>
        </references>
      </pivotArea>
    </chartFormat>
    <chartFormat chart="1" format="190" series="1">
      <pivotArea type="data" outline="0" fieldPosition="0">
        <references count="1">
          <reference field="1" count="1" selected="0">
            <x v="188"/>
          </reference>
        </references>
      </pivotArea>
    </chartFormat>
    <chartFormat chart="1" format="191" series="1">
      <pivotArea type="data" outline="0" fieldPosition="0">
        <references count="1">
          <reference field="1" count="1" selected="0">
            <x v="189"/>
          </reference>
        </references>
      </pivotArea>
    </chartFormat>
    <chartFormat chart="1" format="192" series="1">
      <pivotArea type="data" outline="0" fieldPosition="0">
        <references count="1">
          <reference field="1" count="1" selected="0">
            <x v="190"/>
          </reference>
        </references>
      </pivotArea>
    </chartFormat>
    <chartFormat chart="1" format="193" series="1">
      <pivotArea type="data" outline="0" fieldPosition="0">
        <references count="1">
          <reference field="1" count="1" selected="0">
            <x v="191"/>
          </reference>
        </references>
      </pivotArea>
    </chartFormat>
    <chartFormat chart="1" format="194" series="1">
      <pivotArea type="data" outline="0" fieldPosition="0">
        <references count="1">
          <reference field="1" count="1" selected="0">
            <x v="192"/>
          </reference>
        </references>
      </pivotArea>
    </chartFormat>
    <chartFormat chart="1" format="195" series="1">
      <pivotArea type="data" outline="0" fieldPosition="0">
        <references count="1">
          <reference field="1" count="1" selected="0">
            <x v="193"/>
          </reference>
        </references>
      </pivotArea>
    </chartFormat>
    <chartFormat chart="1" format="196" series="1">
      <pivotArea type="data" outline="0" fieldPosition="0">
        <references count="1">
          <reference field="1" count="1" selected="0">
            <x v="194"/>
          </reference>
        </references>
      </pivotArea>
    </chartFormat>
    <chartFormat chart="1" format="197" series="1">
      <pivotArea type="data" outline="0" fieldPosition="0">
        <references count="1">
          <reference field="1" count="1" selected="0">
            <x v="195"/>
          </reference>
        </references>
      </pivotArea>
    </chartFormat>
    <chartFormat chart="1" format="198" series="1">
      <pivotArea type="data" outline="0" fieldPosition="0">
        <references count="1">
          <reference field="1" count="1" selected="0">
            <x v="196"/>
          </reference>
        </references>
      </pivotArea>
    </chartFormat>
    <chartFormat chart="1" format="199" series="1">
      <pivotArea type="data" outline="0" fieldPosition="0">
        <references count="1">
          <reference field="1" count="1" selected="0">
            <x v="197"/>
          </reference>
        </references>
      </pivotArea>
    </chartFormat>
    <chartFormat chart="1" format="200" series="1">
      <pivotArea type="data" outline="0" fieldPosition="0">
        <references count="1">
          <reference field="1" count="1" selected="0">
            <x v="198"/>
          </reference>
        </references>
      </pivotArea>
    </chartFormat>
    <chartFormat chart="1" format="201" series="1">
      <pivotArea type="data" outline="0" fieldPosition="0">
        <references count="1">
          <reference field="1" count="1" selected="0">
            <x v="199"/>
          </reference>
        </references>
      </pivotArea>
    </chartFormat>
    <chartFormat chart="1" format="20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0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0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1"/>
  <sheetViews>
    <sheetView tabSelected="1" zoomScale="67" zoomScaleNormal="40" workbookViewId="0">
      <selection activeCell="Q5" sqref="Q5"/>
    </sheetView>
  </sheetViews>
  <sheetFormatPr defaultRowHeight="14.5" x14ac:dyDescent="0.35"/>
  <cols>
    <col min="1" max="1" width="10" customWidth="1"/>
    <col min="2" max="2" width="10.08984375" customWidth="1"/>
    <col min="3" max="3" width="7.36328125" customWidth="1"/>
    <col min="4" max="4" width="14.6328125" customWidth="1"/>
    <col min="6" max="6" width="12.453125" bestFit="1" customWidth="1"/>
    <col min="7" max="7" width="22" bestFit="1" customWidth="1"/>
    <col min="8" max="8" width="12.54296875" bestFit="1" customWidth="1"/>
    <col min="9" max="9" width="9.453125" bestFit="1" customWidth="1"/>
    <col min="10" max="12" width="6.08984375" bestFit="1" customWidth="1"/>
    <col min="13" max="15" width="8.36328125" bestFit="1" customWidth="1"/>
    <col min="16" max="16" width="8.6328125" bestFit="1" customWidth="1"/>
    <col min="17" max="17" width="8.36328125" customWidth="1"/>
    <col min="18" max="206" width="6.08984375" bestFit="1" customWidth="1"/>
    <col min="207" max="207" width="9.17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</row>
    <row r="2" spans="1:17" ht="16.5" x14ac:dyDescent="0.45">
      <c r="A2" s="1" t="s">
        <v>209</v>
      </c>
      <c r="B2" t="s">
        <v>5</v>
      </c>
      <c r="C2" t="s">
        <v>6</v>
      </c>
      <c r="D2">
        <v>7250</v>
      </c>
    </row>
    <row r="3" spans="1:17" ht="15" x14ac:dyDescent="0.35">
      <c r="A3" t="s">
        <v>4</v>
      </c>
      <c r="B3" t="s">
        <v>7</v>
      </c>
      <c r="C3" t="s">
        <v>8</v>
      </c>
      <c r="D3">
        <v>7087</v>
      </c>
      <c r="G3" s="2" t="s">
        <v>210</v>
      </c>
      <c r="H3" s="2" t="s">
        <v>213</v>
      </c>
      <c r="I3" s="2" t="s">
        <v>212</v>
      </c>
      <c r="M3" s="5" t="s">
        <v>217</v>
      </c>
      <c r="N3" s="5" t="s">
        <v>218</v>
      </c>
      <c r="O3" s="5" t="s">
        <v>219</v>
      </c>
      <c r="P3" s="2" t="s">
        <v>221</v>
      </c>
      <c r="Q3" s="5" t="s">
        <v>222</v>
      </c>
    </row>
    <row r="4" spans="1:17" x14ac:dyDescent="0.35">
      <c r="A4" t="s">
        <v>4</v>
      </c>
      <c r="B4" t="s">
        <v>9</v>
      </c>
      <c r="C4" t="s">
        <v>8</v>
      </c>
      <c r="D4">
        <v>7036</v>
      </c>
      <c r="G4">
        <f>SUMIF(A:A,"高价&gt;200",D:D)</f>
        <v>1035380</v>
      </c>
      <c r="H4">
        <f>SUMIF(A:A,"中端50~200",D:D)</f>
        <v>20729</v>
      </c>
      <c r="I4">
        <f>SUM(D:D)</f>
        <v>1056109</v>
      </c>
      <c r="M4">
        <f>SUMIF(C:C,"China",D:D)</f>
        <v>334603</v>
      </c>
      <c r="N4">
        <f>SUMIF(C:C,"India",D:D)</f>
        <v>322589</v>
      </c>
      <c r="O4">
        <f>SUMIF(C:C,"USA",D:D)</f>
        <v>398917</v>
      </c>
      <c r="P4">
        <f>SUM(D:D)</f>
        <v>1056109</v>
      </c>
      <c r="Q4">
        <f>O4/P4</f>
        <v>0.37772332211921306</v>
      </c>
    </row>
    <row r="5" spans="1:17" x14ac:dyDescent="0.35">
      <c r="A5" t="s">
        <v>4</v>
      </c>
      <c r="B5" t="s">
        <v>10</v>
      </c>
      <c r="C5" t="s">
        <v>11</v>
      </c>
      <c r="D5">
        <v>6949</v>
      </c>
    </row>
    <row r="6" spans="1:17" x14ac:dyDescent="0.35">
      <c r="A6" t="s">
        <v>4</v>
      </c>
      <c r="B6" t="s">
        <v>12</v>
      </c>
      <c r="C6" t="s">
        <v>6</v>
      </c>
      <c r="D6">
        <v>6803</v>
      </c>
    </row>
    <row r="7" spans="1:17" x14ac:dyDescent="0.35">
      <c r="A7" t="s">
        <v>4</v>
      </c>
      <c r="B7" t="s">
        <v>13</v>
      </c>
      <c r="C7" t="s">
        <v>8</v>
      </c>
      <c r="D7">
        <v>6749</v>
      </c>
    </row>
    <row r="8" spans="1:17" x14ac:dyDescent="0.35">
      <c r="A8" t="s">
        <v>4</v>
      </c>
      <c r="B8" t="s">
        <v>14</v>
      </c>
      <c r="C8" t="s">
        <v>8</v>
      </c>
      <c r="D8">
        <v>6651</v>
      </c>
    </row>
    <row r="9" spans="1:17" x14ac:dyDescent="0.35">
      <c r="A9" t="s">
        <v>4</v>
      </c>
      <c r="B9" t="s">
        <v>15</v>
      </c>
      <c r="C9" t="s">
        <v>11</v>
      </c>
      <c r="D9">
        <v>6649</v>
      </c>
    </row>
    <row r="10" spans="1:17" x14ac:dyDescent="0.35">
      <c r="A10" t="s">
        <v>4</v>
      </c>
      <c r="B10" t="s">
        <v>16</v>
      </c>
      <c r="C10" t="s">
        <v>6</v>
      </c>
      <c r="D10">
        <v>6633</v>
      </c>
    </row>
    <row r="11" spans="1:17" x14ac:dyDescent="0.35">
      <c r="A11" t="s">
        <v>4</v>
      </c>
      <c r="B11" t="s">
        <v>17</v>
      </c>
      <c r="C11" t="s">
        <v>6</v>
      </c>
      <c r="D11">
        <v>6604</v>
      </c>
    </row>
    <row r="12" spans="1:17" x14ac:dyDescent="0.35">
      <c r="A12" t="s">
        <v>4</v>
      </c>
      <c r="B12" t="s">
        <v>18</v>
      </c>
      <c r="C12" t="s">
        <v>6</v>
      </c>
      <c r="D12">
        <v>6582</v>
      </c>
    </row>
    <row r="13" spans="1:17" x14ac:dyDescent="0.35">
      <c r="A13" t="s">
        <v>4</v>
      </c>
      <c r="B13" t="s">
        <v>19</v>
      </c>
      <c r="C13" t="s">
        <v>6</v>
      </c>
      <c r="D13">
        <v>6566</v>
      </c>
    </row>
    <row r="14" spans="1:17" x14ac:dyDescent="0.35">
      <c r="A14" t="s">
        <v>4</v>
      </c>
      <c r="B14" t="s">
        <v>20</v>
      </c>
      <c r="C14" t="s">
        <v>6</v>
      </c>
      <c r="D14">
        <v>6533</v>
      </c>
    </row>
    <row r="15" spans="1:17" x14ac:dyDescent="0.35">
      <c r="A15" t="s">
        <v>4</v>
      </c>
      <c r="B15" t="s">
        <v>21</v>
      </c>
      <c r="C15" t="s">
        <v>6</v>
      </c>
      <c r="D15">
        <v>6432</v>
      </c>
    </row>
    <row r="16" spans="1:17" x14ac:dyDescent="0.35">
      <c r="A16" t="s">
        <v>4</v>
      </c>
      <c r="B16" t="s">
        <v>22</v>
      </c>
      <c r="C16" t="s">
        <v>8</v>
      </c>
      <c r="D16">
        <v>6383</v>
      </c>
    </row>
    <row r="17" spans="1:7" x14ac:dyDescent="0.35">
      <c r="A17" t="s">
        <v>4</v>
      </c>
      <c r="B17" t="s">
        <v>23</v>
      </c>
      <c r="C17" t="s">
        <v>8</v>
      </c>
      <c r="D17">
        <v>6309</v>
      </c>
    </row>
    <row r="18" spans="1:7" x14ac:dyDescent="0.35">
      <c r="A18" t="s">
        <v>4</v>
      </c>
      <c r="B18" t="s">
        <v>24</v>
      </c>
      <c r="C18" t="s">
        <v>8</v>
      </c>
      <c r="D18">
        <v>6251</v>
      </c>
    </row>
    <row r="19" spans="1:7" x14ac:dyDescent="0.35">
      <c r="A19" t="s">
        <v>4</v>
      </c>
      <c r="B19" t="s">
        <v>25</v>
      </c>
      <c r="C19" t="s">
        <v>8</v>
      </c>
      <c r="D19">
        <v>6242</v>
      </c>
    </row>
    <row r="20" spans="1:7" x14ac:dyDescent="0.35">
      <c r="A20" t="s">
        <v>4</v>
      </c>
      <c r="B20" t="s">
        <v>26</v>
      </c>
      <c r="C20" t="s">
        <v>8</v>
      </c>
      <c r="D20">
        <v>6200</v>
      </c>
      <c r="F20" s="3" t="s">
        <v>0</v>
      </c>
      <c r="G20" t="s">
        <v>220</v>
      </c>
    </row>
    <row r="21" spans="1:7" x14ac:dyDescent="0.35">
      <c r="A21" t="s">
        <v>4</v>
      </c>
      <c r="B21" t="s">
        <v>27</v>
      </c>
      <c r="C21" t="s">
        <v>11</v>
      </c>
      <c r="D21">
        <v>6198</v>
      </c>
    </row>
    <row r="22" spans="1:7" x14ac:dyDescent="0.35">
      <c r="A22" t="s">
        <v>4</v>
      </c>
      <c r="B22" t="s">
        <v>28</v>
      </c>
      <c r="C22" t="s">
        <v>11</v>
      </c>
      <c r="D22">
        <v>6104</v>
      </c>
      <c r="F22" s="3" t="s">
        <v>214</v>
      </c>
      <c r="G22" t="s">
        <v>216</v>
      </c>
    </row>
    <row r="23" spans="1:7" x14ac:dyDescent="0.35">
      <c r="A23" t="s">
        <v>4</v>
      </c>
      <c r="B23" t="s">
        <v>29</v>
      </c>
      <c r="C23" t="s">
        <v>6</v>
      </c>
      <c r="D23">
        <v>6061</v>
      </c>
      <c r="F23" s="4" t="s">
        <v>207</v>
      </c>
      <c r="G23">
        <v>3375</v>
      </c>
    </row>
    <row r="24" spans="1:7" x14ac:dyDescent="0.35">
      <c r="A24" t="s">
        <v>4</v>
      </c>
      <c r="B24" t="s">
        <v>30</v>
      </c>
      <c r="C24" t="s">
        <v>11</v>
      </c>
      <c r="D24">
        <v>5995</v>
      </c>
      <c r="F24" s="4" t="s">
        <v>206</v>
      </c>
      <c r="G24">
        <v>3628</v>
      </c>
    </row>
    <row r="25" spans="1:7" x14ac:dyDescent="0.35">
      <c r="A25" t="s">
        <v>4</v>
      </c>
      <c r="B25" t="s">
        <v>31</v>
      </c>
      <c r="C25" t="s">
        <v>11</v>
      </c>
      <c r="D25">
        <v>5993</v>
      </c>
      <c r="F25" s="4" t="s">
        <v>205</v>
      </c>
      <c r="G25">
        <v>3635</v>
      </c>
    </row>
    <row r="26" spans="1:7" x14ac:dyDescent="0.35">
      <c r="A26" t="s">
        <v>4</v>
      </c>
      <c r="B26" t="s">
        <v>32</v>
      </c>
      <c r="C26" t="s">
        <v>8</v>
      </c>
      <c r="D26">
        <v>5976</v>
      </c>
      <c r="F26" s="4" t="s">
        <v>204</v>
      </c>
      <c r="G26">
        <v>3695</v>
      </c>
    </row>
    <row r="27" spans="1:7" x14ac:dyDescent="0.35">
      <c r="A27" t="s">
        <v>4</v>
      </c>
      <c r="B27" t="s">
        <v>33</v>
      </c>
      <c r="C27" t="s">
        <v>6</v>
      </c>
      <c r="D27">
        <v>5972</v>
      </c>
      <c r="F27" s="4" t="s">
        <v>202</v>
      </c>
      <c r="G27">
        <v>3756</v>
      </c>
    </row>
    <row r="28" spans="1:7" x14ac:dyDescent="0.35">
      <c r="A28" t="s">
        <v>4</v>
      </c>
      <c r="B28" t="s">
        <v>34</v>
      </c>
      <c r="C28" t="s">
        <v>8</v>
      </c>
      <c r="D28">
        <v>5968</v>
      </c>
      <c r="F28" s="4" t="s">
        <v>201</v>
      </c>
      <c r="G28">
        <v>3860</v>
      </c>
    </row>
    <row r="29" spans="1:7" x14ac:dyDescent="0.35">
      <c r="A29" t="s">
        <v>4</v>
      </c>
      <c r="B29" t="s">
        <v>35</v>
      </c>
      <c r="C29" t="s">
        <v>8</v>
      </c>
      <c r="D29">
        <v>5965</v>
      </c>
      <c r="F29" s="4" t="s">
        <v>199</v>
      </c>
      <c r="G29">
        <v>4023</v>
      </c>
    </row>
    <row r="30" spans="1:7" x14ac:dyDescent="0.35">
      <c r="A30" t="s">
        <v>4</v>
      </c>
      <c r="B30" t="s">
        <v>36</v>
      </c>
      <c r="C30" t="s">
        <v>11</v>
      </c>
      <c r="D30">
        <v>5946</v>
      </c>
      <c r="F30" s="4" t="s">
        <v>203</v>
      </c>
      <c r="G30">
        <v>4053</v>
      </c>
    </row>
    <row r="31" spans="1:7" x14ac:dyDescent="0.35">
      <c r="A31" t="s">
        <v>4</v>
      </c>
      <c r="B31" t="s">
        <v>37</v>
      </c>
      <c r="C31" t="s">
        <v>8</v>
      </c>
      <c r="D31">
        <v>5936</v>
      </c>
      <c r="F31" s="4" t="s">
        <v>195</v>
      </c>
      <c r="G31">
        <v>4095</v>
      </c>
    </row>
    <row r="32" spans="1:7" x14ac:dyDescent="0.35">
      <c r="A32" t="s">
        <v>4</v>
      </c>
      <c r="B32" t="s">
        <v>38</v>
      </c>
      <c r="C32" t="s">
        <v>11</v>
      </c>
      <c r="D32">
        <v>5933</v>
      </c>
      <c r="F32" s="4" t="s">
        <v>197</v>
      </c>
      <c r="G32">
        <v>4111</v>
      </c>
    </row>
    <row r="33" spans="1:7" x14ac:dyDescent="0.35">
      <c r="A33" t="s">
        <v>4</v>
      </c>
      <c r="B33" t="s">
        <v>39</v>
      </c>
      <c r="C33" t="s">
        <v>11</v>
      </c>
      <c r="D33">
        <v>5921</v>
      </c>
      <c r="F33" s="4" t="s">
        <v>196</v>
      </c>
      <c r="G33">
        <v>4134</v>
      </c>
    </row>
    <row r="34" spans="1:7" x14ac:dyDescent="0.35">
      <c r="A34" t="s">
        <v>4</v>
      </c>
      <c r="B34" t="s">
        <v>40</v>
      </c>
      <c r="C34" t="s">
        <v>8</v>
      </c>
      <c r="D34">
        <v>5915</v>
      </c>
      <c r="F34" s="4" t="s">
        <v>198</v>
      </c>
      <c r="G34">
        <v>4152</v>
      </c>
    </row>
    <row r="35" spans="1:7" x14ac:dyDescent="0.35">
      <c r="A35" t="s">
        <v>4</v>
      </c>
      <c r="B35" t="s">
        <v>41</v>
      </c>
      <c r="C35" t="s">
        <v>11</v>
      </c>
      <c r="D35">
        <v>5904</v>
      </c>
      <c r="F35" s="4" t="s">
        <v>190</v>
      </c>
      <c r="G35">
        <v>4215</v>
      </c>
    </row>
    <row r="36" spans="1:7" x14ac:dyDescent="0.35">
      <c r="A36" t="s">
        <v>4</v>
      </c>
      <c r="B36" t="s">
        <v>42</v>
      </c>
      <c r="C36" t="s">
        <v>11</v>
      </c>
      <c r="D36">
        <v>5892</v>
      </c>
      <c r="F36" s="4" t="s">
        <v>200</v>
      </c>
      <c r="G36">
        <v>4218</v>
      </c>
    </row>
    <row r="37" spans="1:7" x14ac:dyDescent="0.35">
      <c r="A37" t="s">
        <v>4</v>
      </c>
      <c r="B37" t="s">
        <v>43</v>
      </c>
      <c r="C37" t="s">
        <v>6</v>
      </c>
      <c r="D37">
        <v>5881</v>
      </c>
      <c r="F37" s="4" t="s">
        <v>189</v>
      </c>
      <c r="G37">
        <v>4222</v>
      </c>
    </row>
    <row r="38" spans="1:7" x14ac:dyDescent="0.35">
      <c r="A38" t="s">
        <v>4</v>
      </c>
      <c r="B38" t="s">
        <v>44</v>
      </c>
      <c r="C38" t="s">
        <v>8</v>
      </c>
      <c r="D38">
        <v>5875</v>
      </c>
      <c r="F38" s="4" t="s">
        <v>185</v>
      </c>
      <c r="G38">
        <v>4259</v>
      </c>
    </row>
    <row r="39" spans="1:7" x14ac:dyDescent="0.35">
      <c r="A39" t="s">
        <v>4</v>
      </c>
      <c r="B39" t="s">
        <v>45</v>
      </c>
      <c r="C39" t="s">
        <v>11</v>
      </c>
      <c r="D39">
        <v>5869</v>
      </c>
      <c r="F39" s="4" t="s">
        <v>183</v>
      </c>
      <c r="G39">
        <v>4267</v>
      </c>
    </row>
    <row r="40" spans="1:7" x14ac:dyDescent="0.35">
      <c r="A40" t="s">
        <v>4</v>
      </c>
      <c r="B40" t="s">
        <v>46</v>
      </c>
      <c r="C40" t="s">
        <v>11</v>
      </c>
      <c r="D40">
        <v>5867</v>
      </c>
      <c r="F40" s="4" t="s">
        <v>193</v>
      </c>
      <c r="G40">
        <v>4269</v>
      </c>
    </row>
    <row r="41" spans="1:7" x14ac:dyDescent="0.35">
      <c r="A41" t="s">
        <v>4</v>
      </c>
      <c r="B41" t="s">
        <v>47</v>
      </c>
      <c r="C41" t="s">
        <v>6</v>
      </c>
      <c r="D41">
        <v>5863</v>
      </c>
      <c r="F41" s="4" t="s">
        <v>188</v>
      </c>
      <c r="G41">
        <v>4327</v>
      </c>
    </row>
    <row r="42" spans="1:7" x14ac:dyDescent="0.35">
      <c r="A42" t="s">
        <v>4</v>
      </c>
      <c r="B42" t="s">
        <v>48</v>
      </c>
      <c r="C42" t="s">
        <v>6</v>
      </c>
      <c r="D42">
        <v>5842</v>
      </c>
      <c r="F42" s="4" t="s">
        <v>187</v>
      </c>
      <c r="G42">
        <v>4346</v>
      </c>
    </row>
    <row r="43" spans="1:7" x14ac:dyDescent="0.35">
      <c r="A43" t="s">
        <v>4</v>
      </c>
      <c r="B43" t="s">
        <v>49</v>
      </c>
      <c r="C43" t="s">
        <v>11</v>
      </c>
      <c r="D43">
        <v>5838</v>
      </c>
      <c r="F43" s="4" t="s">
        <v>186</v>
      </c>
      <c r="G43">
        <v>4352</v>
      </c>
    </row>
    <row r="44" spans="1:7" x14ac:dyDescent="0.35">
      <c r="A44" t="s">
        <v>4</v>
      </c>
      <c r="B44" t="s">
        <v>50</v>
      </c>
      <c r="C44" t="s">
        <v>6</v>
      </c>
      <c r="D44">
        <v>5821</v>
      </c>
      <c r="F44" s="4" t="s">
        <v>178</v>
      </c>
      <c r="G44">
        <v>4391</v>
      </c>
    </row>
    <row r="45" spans="1:7" x14ac:dyDescent="0.35">
      <c r="A45" t="s">
        <v>4</v>
      </c>
      <c r="B45" t="s">
        <v>51</v>
      </c>
      <c r="C45" t="s">
        <v>8</v>
      </c>
      <c r="D45">
        <v>5810</v>
      </c>
      <c r="F45" s="4" t="s">
        <v>192</v>
      </c>
      <c r="G45">
        <v>4393</v>
      </c>
    </row>
    <row r="46" spans="1:7" x14ac:dyDescent="0.35">
      <c r="A46" t="s">
        <v>4</v>
      </c>
      <c r="B46" t="s">
        <v>52</v>
      </c>
      <c r="C46" t="s">
        <v>11</v>
      </c>
      <c r="D46">
        <v>5798</v>
      </c>
      <c r="F46" s="4" t="s">
        <v>177</v>
      </c>
      <c r="G46">
        <v>4396</v>
      </c>
    </row>
    <row r="47" spans="1:7" x14ac:dyDescent="0.35">
      <c r="A47" t="s">
        <v>4</v>
      </c>
      <c r="B47" t="s">
        <v>53</v>
      </c>
      <c r="C47" t="s">
        <v>8</v>
      </c>
      <c r="D47">
        <v>5754</v>
      </c>
      <c r="F47" s="4" t="s">
        <v>191</v>
      </c>
      <c r="G47">
        <v>4406</v>
      </c>
    </row>
    <row r="48" spans="1:7" x14ac:dyDescent="0.35">
      <c r="A48" t="s">
        <v>4</v>
      </c>
      <c r="B48" t="s">
        <v>54</v>
      </c>
      <c r="C48" t="s">
        <v>6</v>
      </c>
      <c r="D48">
        <v>5745</v>
      </c>
      <c r="F48" s="4" t="s">
        <v>175</v>
      </c>
      <c r="G48">
        <v>4418</v>
      </c>
    </row>
    <row r="49" spans="1:7" x14ac:dyDescent="0.35">
      <c r="A49" t="s">
        <v>4</v>
      </c>
      <c r="B49" t="s">
        <v>55</v>
      </c>
      <c r="C49" t="s">
        <v>8</v>
      </c>
      <c r="D49">
        <v>5695</v>
      </c>
      <c r="F49" s="4" t="s">
        <v>173</v>
      </c>
      <c r="G49">
        <v>4447</v>
      </c>
    </row>
    <row r="50" spans="1:7" x14ac:dyDescent="0.35">
      <c r="A50" t="s">
        <v>4</v>
      </c>
      <c r="B50" t="s">
        <v>56</v>
      </c>
      <c r="C50" t="s">
        <v>6</v>
      </c>
      <c r="D50">
        <v>5692</v>
      </c>
      <c r="F50" s="4" t="s">
        <v>184</v>
      </c>
      <c r="G50">
        <v>4459</v>
      </c>
    </row>
    <row r="51" spans="1:7" x14ac:dyDescent="0.35">
      <c r="A51" t="s">
        <v>4</v>
      </c>
      <c r="B51" t="s">
        <v>57</v>
      </c>
      <c r="C51" t="s">
        <v>8</v>
      </c>
      <c r="D51">
        <v>5672</v>
      </c>
      <c r="F51" s="4" t="s">
        <v>194</v>
      </c>
      <c r="G51">
        <v>4473</v>
      </c>
    </row>
    <row r="52" spans="1:7" x14ac:dyDescent="0.35">
      <c r="A52" t="s">
        <v>4</v>
      </c>
      <c r="B52" t="s">
        <v>58</v>
      </c>
      <c r="C52" t="s">
        <v>8</v>
      </c>
      <c r="D52">
        <v>5654</v>
      </c>
      <c r="F52" s="4" t="s">
        <v>172</v>
      </c>
      <c r="G52">
        <v>4486</v>
      </c>
    </row>
    <row r="53" spans="1:7" x14ac:dyDescent="0.35">
      <c r="A53" t="s">
        <v>4</v>
      </c>
      <c r="B53" t="s">
        <v>59</v>
      </c>
      <c r="C53" t="s">
        <v>11</v>
      </c>
      <c r="D53">
        <v>5618</v>
      </c>
      <c r="F53" s="4" t="s">
        <v>180</v>
      </c>
      <c r="G53">
        <v>4492</v>
      </c>
    </row>
    <row r="54" spans="1:7" x14ac:dyDescent="0.35">
      <c r="A54" t="s">
        <v>4</v>
      </c>
      <c r="B54" t="s">
        <v>60</v>
      </c>
      <c r="C54" t="s">
        <v>8</v>
      </c>
      <c r="D54">
        <v>5612</v>
      </c>
      <c r="F54" s="4" t="s">
        <v>170</v>
      </c>
      <c r="G54">
        <v>4505</v>
      </c>
    </row>
    <row r="55" spans="1:7" x14ac:dyDescent="0.35">
      <c r="A55" t="s">
        <v>4</v>
      </c>
      <c r="B55" t="s">
        <v>61</v>
      </c>
      <c r="C55" t="s">
        <v>6</v>
      </c>
      <c r="D55">
        <v>5611</v>
      </c>
      <c r="F55" s="4" t="s">
        <v>169</v>
      </c>
      <c r="G55">
        <v>4523</v>
      </c>
    </row>
    <row r="56" spans="1:7" x14ac:dyDescent="0.35">
      <c r="A56" t="s">
        <v>4</v>
      </c>
      <c r="B56" t="s">
        <v>62</v>
      </c>
      <c r="C56" t="s">
        <v>6</v>
      </c>
      <c r="D56">
        <v>5579</v>
      </c>
      <c r="F56" s="4" t="s">
        <v>166</v>
      </c>
      <c r="G56">
        <v>4551</v>
      </c>
    </row>
    <row r="57" spans="1:7" x14ac:dyDescent="0.35">
      <c r="A57" t="s">
        <v>4</v>
      </c>
      <c r="B57" t="s">
        <v>63</v>
      </c>
      <c r="C57" t="s">
        <v>8</v>
      </c>
      <c r="D57">
        <v>5566</v>
      </c>
      <c r="F57" s="4" t="s">
        <v>161</v>
      </c>
      <c r="G57">
        <v>4598</v>
      </c>
    </row>
    <row r="58" spans="1:7" x14ac:dyDescent="0.35">
      <c r="A58" t="s">
        <v>4</v>
      </c>
      <c r="B58" t="s">
        <v>64</v>
      </c>
      <c r="C58" t="s">
        <v>11</v>
      </c>
      <c r="D58">
        <v>5562</v>
      </c>
      <c r="F58" s="4" t="s">
        <v>176</v>
      </c>
      <c r="G58">
        <v>4637</v>
      </c>
    </row>
    <row r="59" spans="1:7" x14ac:dyDescent="0.35">
      <c r="A59" t="s">
        <v>4</v>
      </c>
      <c r="B59" t="s">
        <v>65</v>
      </c>
      <c r="C59" t="s">
        <v>8</v>
      </c>
      <c r="D59">
        <v>5544</v>
      </c>
      <c r="F59" s="4" t="s">
        <v>174</v>
      </c>
      <c r="G59">
        <v>4645</v>
      </c>
    </row>
    <row r="60" spans="1:7" x14ac:dyDescent="0.35">
      <c r="A60" t="s">
        <v>4</v>
      </c>
      <c r="B60" t="s">
        <v>66</v>
      </c>
      <c r="C60" t="s">
        <v>6</v>
      </c>
      <c r="D60">
        <v>5541</v>
      </c>
      <c r="F60" s="4" t="s">
        <v>157</v>
      </c>
      <c r="G60">
        <v>4656</v>
      </c>
    </row>
    <row r="61" spans="1:7" x14ac:dyDescent="0.35">
      <c r="A61" t="s">
        <v>4</v>
      </c>
      <c r="B61" t="s">
        <v>67</v>
      </c>
      <c r="C61" t="s">
        <v>8</v>
      </c>
      <c r="D61">
        <v>5538</v>
      </c>
      <c r="F61" s="4" t="s">
        <v>171</v>
      </c>
      <c r="G61">
        <v>4659</v>
      </c>
    </row>
    <row r="62" spans="1:7" x14ac:dyDescent="0.35">
      <c r="A62" t="s">
        <v>4</v>
      </c>
      <c r="B62" t="s">
        <v>68</v>
      </c>
      <c r="C62" t="s">
        <v>6</v>
      </c>
      <c r="D62">
        <v>5531</v>
      </c>
      <c r="F62" s="4" t="s">
        <v>167</v>
      </c>
      <c r="G62">
        <v>4663</v>
      </c>
    </row>
    <row r="63" spans="1:7" x14ac:dyDescent="0.35">
      <c r="A63" t="s">
        <v>4</v>
      </c>
      <c r="B63" t="s">
        <v>69</v>
      </c>
      <c r="C63" t="s">
        <v>8</v>
      </c>
      <c r="D63">
        <v>5523</v>
      </c>
      <c r="F63" s="4" t="s">
        <v>164</v>
      </c>
      <c r="G63">
        <v>4672</v>
      </c>
    </row>
    <row r="64" spans="1:7" x14ac:dyDescent="0.35">
      <c r="A64" t="s">
        <v>4</v>
      </c>
      <c r="B64" t="s">
        <v>70</v>
      </c>
      <c r="C64" t="s">
        <v>8</v>
      </c>
      <c r="D64">
        <v>5523</v>
      </c>
      <c r="F64" s="4" t="s">
        <v>156</v>
      </c>
      <c r="G64">
        <v>4674</v>
      </c>
    </row>
    <row r="65" spans="1:7" x14ac:dyDescent="0.35">
      <c r="A65" t="s">
        <v>4</v>
      </c>
      <c r="B65" t="s">
        <v>71</v>
      </c>
      <c r="C65" t="s">
        <v>11</v>
      </c>
      <c r="D65">
        <v>5498</v>
      </c>
      <c r="F65" s="4" t="s">
        <v>155</v>
      </c>
      <c r="G65">
        <v>4682</v>
      </c>
    </row>
    <row r="66" spans="1:7" x14ac:dyDescent="0.35">
      <c r="A66" t="s">
        <v>4</v>
      </c>
      <c r="B66" t="s">
        <v>72</v>
      </c>
      <c r="C66" t="s">
        <v>8</v>
      </c>
      <c r="D66">
        <v>5479</v>
      </c>
      <c r="F66" s="4" t="s">
        <v>163</v>
      </c>
      <c r="G66">
        <v>4701</v>
      </c>
    </row>
    <row r="67" spans="1:7" x14ac:dyDescent="0.35">
      <c r="A67" t="s">
        <v>4</v>
      </c>
      <c r="B67" t="s">
        <v>73</v>
      </c>
      <c r="C67" t="s">
        <v>8</v>
      </c>
      <c r="D67">
        <v>5479</v>
      </c>
      <c r="F67" s="4" t="s">
        <v>151</v>
      </c>
      <c r="G67">
        <v>4712</v>
      </c>
    </row>
    <row r="68" spans="1:7" x14ac:dyDescent="0.35">
      <c r="A68" t="s">
        <v>4</v>
      </c>
      <c r="B68" t="s">
        <v>74</v>
      </c>
      <c r="C68" t="s">
        <v>11</v>
      </c>
      <c r="D68">
        <v>5477</v>
      </c>
      <c r="F68" s="4" t="s">
        <v>152</v>
      </c>
      <c r="G68">
        <v>4712</v>
      </c>
    </row>
    <row r="69" spans="1:7" x14ac:dyDescent="0.35">
      <c r="A69" t="s">
        <v>4</v>
      </c>
      <c r="B69" t="s">
        <v>75</v>
      </c>
      <c r="C69" t="s">
        <v>8</v>
      </c>
      <c r="D69">
        <v>5466</v>
      </c>
      <c r="F69" s="4" t="s">
        <v>159</v>
      </c>
      <c r="G69">
        <v>4716</v>
      </c>
    </row>
    <row r="70" spans="1:7" x14ac:dyDescent="0.35">
      <c r="A70" t="s">
        <v>4</v>
      </c>
      <c r="B70" t="s">
        <v>76</v>
      </c>
      <c r="C70" t="s">
        <v>8</v>
      </c>
      <c r="D70">
        <v>5444</v>
      </c>
      <c r="F70" s="4" t="s">
        <v>179</v>
      </c>
      <c r="G70">
        <v>4723</v>
      </c>
    </row>
    <row r="71" spans="1:7" x14ac:dyDescent="0.35">
      <c r="A71" t="s">
        <v>4</v>
      </c>
      <c r="B71" t="s">
        <v>77</v>
      </c>
      <c r="C71" t="s">
        <v>6</v>
      </c>
      <c r="D71">
        <v>5439</v>
      </c>
      <c r="F71" s="4" t="s">
        <v>160</v>
      </c>
      <c r="G71">
        <v>4727</v>
      </c>
    </row>
    <row r="72" spans="1:7" x14ac:dyDescent="0.35">
      <c r="A72" t="s">
        <v>4</v>
      </c>
      <c r="B72" t="s">
        <v>78</v>
      </c>
      <c r="C72" t="s">
        <v>6</v>
      </c>
      <c r="D72">
        <v>5425</v>
      </c>
      <c r="F72" s="4" t="s">
        <v>150</v>
      </c>
      <c r="G72">
        <v>4736</v>
      </c>
    </row>
    <row r="73" spans="1:7" x14ac:dyDescent="0.35">
      <c r="A73" t="s">
        <v>4</v>
      </c>
      <c r="B73" t="s">
        <v>79</v>
      </c>
      <c r="C73" t="s">
        <v>11</v>
      </c>
      <c r="D73">
        <v>5416</v>
      </c>
      <c r="F73" s="4" t="s">
        <v>158</v>
      </c>
      <c r="G73">
        <v>4736</v>
      </c>
    </row>
    <row r="74" spans="1:7" x14ac:dyDescent="0.35">
      <c r="A74" t="s">
        <v>4</v>
      </c>
      <c r="B74" t="s">
        <v>80</v>
      </c>
      <c r="C74" t="s">
        <v>11</v>
      </c>
      <c r="D74">
        <v>5381</v>
      </c>
      <c r="F74" s="4" t="s">
        <v>149</v>
      </c>
      <c r="G74">
        <v>4745</v>
      </c>
    </row>
    <row r="75" spans="1:7" x14ac:dyDescent="0.35">
      <c r="A75" t="s">
        <v>4</v>
      </c>
      <c r="B75" t="s">
        <v>81</v>
      </c>
      <c r="C75" t="s">
        <v>6</v>
      </c>
      <c r="D75">
        <v>5351</v>
      </c>
      <c r="F75" s="4" t="s">
        <v>181</v>
      </c>
      <c r="G75">
        <v>4777</v>
      </c>
    </row>
    <row r="76" spans="1:7" x14ac:dyDescent="0.35">
      <c r="A76" t="s">
        <v>4</v>
      </c>
      <c r="B76" t="s">
        <v>82</v>
      </c>
      <c r="C76" t="s">
        <v>8</v>
      </c>
      <c r="D76">
        <v>5344</v>
      </c>
      <c r="F76" s="4" t="s">
        <v>147</v>
      </c>
      <c r="G76">
        <v>4783</v>
      </c>
    </row>
    <row r="77" spans="1:7" x14ac:dyDescent="0.35">
      <c r="A77" t="s">
        <v>4</v>
      </c>
      <c r="B77" t="s">
        <v>83</v>
      </c>
      <c r="C77" t="s">
        <v>11</v>
      </c>
      <c r="D77">
        <v>5339</v>
      </c>
      <c r="F77" s="4" t="s">
        <v>154</v>
      </c>
      <c r="G77">
        <v>4805</v>
      </c>
    </row>
    <row r="78" spans="1:7" x14ac:dyDescent="0.35">
      <c r="A78" t="s">
        <v>4</v>
      </c>
      <c r="B78" t="s">
        <v>84</v>
      </c>
      <c r="C78" t="s">
        <v>11</v>
      </c>
      <c r="D78">
        <v>5302</v>
      </c>
      <c r="F78" s="4" t="s">
        <v>162</v>
      </c>
      <c r="G78">
        <v>4822</v>
      </c>
    </row>
    <row r="79" spans="1:7" x14ac:dyDescent="0.35">
      <c r="A79" t="s">
        <v>4</v>
      </c>
      <c r="B79" t="s">
        <v>85</v>
      </c>
      <c r="C79" t="s">
        <v>8</v>
      </c>
      <c r="D79">
        <v>5291</v>
      </c>
      <c r="F79" s="4" t="s">
        <v>144</v>
      </c>
      <c r="G79">
        <v>4834</v>
      </c>
    </row>
    <row r="80" spans="1:7" x14ac:dyDescent="0.35">
      <c r="A80" t="s">
        <v>4</v>
      </c>
      <c r="B80" t="s">
        <v>86</v>
      </c>
      <c r="C80" t="s">
        <v>6</v>
      </c>
      <c r="D80">
        <v>5287</v>
      </c>
      <c r="F80" s="4" t="s">
        <v>182</v>
      </c>
      <c r="G80">
        <v>4843</v>
      </c>
    </row>
    <row r="81" spans="1:7" x14ac:dyDescent="0.35">
      <c r="A81" t="s">
        <v>4</v>
      </c>
      <c r="B81" t="s">
        <v>87</v>
      </c>
      <c r="C81" t="s">
        <v>6</v>
      </c>
      <c r="D81">
        <v>5282</v>
      </c>
      <c r="F81" s="4" t="s">
        <v>153</v>
      </c>
      <c r="G81">
        <v>4847</v>
      </c>
    </row>
    <row r="82" spans="1:7" x14ac:dyDescent="0.35">
      <c r="A82" t="s">
        <v>4</v>
      </c>
      <c r="B82" t="s">
        <v>88</v>
      </c>
      <c r="C82" t="s">
        <v>6</v>
      </c>
      <c r="D82">
        <v>5272</v>
      </c>
      <c r="F82" s="4" t="s">
        <v>168</v>
      </c>
      <c r="G82">
        <v>4867</v>
      </c>
    </row>
    <row r="83" spans="1:7" x14ac:dyDescent="0.35">
      <c r="A83" t="s">
        <v>4</v>
      </c>
      <c r="B83" t="s">
        <v>89</v>
      </c>
      <c r="C83" t="s">
        <v>6</v>
      </c>
      <c r="D83">
        <v>5259</v>
      </c>
      <c r="F83" s="4" t="s">
        <v>165</v>
      </c>
      <c r="G83">
        <v>4875</v>
      </c>
    </row>
    <row r="84" spans="1:7" x14ac:dyDescent="0.35">
      <c r="A84" t="s">
        <v>4</v>
      </c>
      <c r="B84" t="s">
        <v>90</v>
      </c>
      <c r="C84" t="s">
        <v>6</v>
      </c>
      <c r="D84">
        <v>5253</v>
      </c>
      <c r="F84" s="4" t="s">
        <v>148</v>
      </c>
      <c r="G84">
        <v>4877</v>
      </c>
    </row>
    <row r="85" spans="1:7" x14ac:dyDescent="0.35">
      <c r="A85" t="s">
        <v>4</v>
      </c>
      <c r="B85" t="s">
        <v>91</v>
      </c>
      <c r="C85" t="s">
        <v>8</v>
      </c>
      <c r="D85">
        <v>5252</v>
      </c>
      <c r="F85" s="4" t="s">
        <v>135</v>
      </c>
      <c r="G85">
        <v>4882</v>
      </c>
    </row>
    <row r="86" spans="1:7" x14ac:dyDescent="0.35">
      <c r="A86" t="s">
        <v>4</v>
      </c>
      <c r="B86" t="s">
        <v>92</v>
      </c>
      <c r="C86" t="s">
        <v>11</v>
      </c>
      <c r="D86">
        <v>5241</v>
      </c>
      <c r="F86" s="4" t="s">
        <v>132</v>
      </c>
      <c r="G86">
        <v>4913</v>
      </c>
    </row>
    <row r="87" spans="1:7" x14ac:dyDescent="0.35">
      <c r="A87" t="s">
        <v>4</v>
      </c>
      <c r="B87" t="s">
        <v>93</v>
      </c>
      <c r="C87" t="s">
        <v>11</v>
      </c>
      <c r="D87">
        <v>5237</v>
      </c>
      <c r="F87" s="4" t="s">
        <v>131</v>
      </c>
      <c r="G87">
        <v>4916</v>
      </c>
    </row>
    <row r="88" spans="1:7" x14ac:dyDescent="0.35">
      <c r="A88" t="s">
        <v>4</v>
      </c>
      <c r="B88" t="s">
        <v>94</v>
      </c>
      <c r="C88" t="s">
        <v>11</v>
      </c>
      <c r="D88">
        <v>5232</v>
      </c>
      <c r="F88" s="4" t="s">
        <v>146</v>
      </c>
      <c r="G88">
        <v>4935</v>
      </c>
    </row>
    <row r="89" spans="1:7" x14ac:dyDescent="0.35">
      <c r="A89" t="s">
        <v>4</v>
      </c>
      <c r="B89" t="s">
        <v>95</v>
      </c>
      <c r="C89" t="s">
        <v>11</v>
      </c>
      <c r="D89">
        <v>5224</v>
      </c>
      <c r="F89" s="4" t="s">
        <v>145</v>
      </c>
      <c r="G89">
        <v>4949</v>
      </c>
    </row>
    <row r="90" spans="1:7" x14ac:dyDescent="0.35">
      <c r="A90" t="s">
        <v>4</v>
      </c>
      <c r="B90" t="s">
        <v>96</v>
      </c>
      <c r="C90" t="s">
        <v>11</v>
      </c>
      <c r="D90">
        <v>5213</v>
      </c>
      <c r="F90" s="4" t="s">
        <v>139</v>
      </c>
      <c r="G90">
        <v>4950</v>
      </c>
    </row>
    <row r="91" spans="1:7" x14ac:dyDescent="0.35">
      <c r="A91" t="s">
        <v>4</v>
      </c>
      <c r="B91" t="s">
        <v>97</v>
      </c>
      <c r="C91" t="s">
        <v>6</v>
      </c>
      <c r="D91">
        <v>5212</v>
      </c>
      <c r="F91" s="4" t="s">
        <v>143</v>
      </c>
      <c r="G91">
        <v>4955</v>
      </c>
    </row>
    <row r="92" spans="1:7" x14ac:dyDescent="0.35">
      <c r="A92" t="s">
        <v>4</v>
      </c>
      <c r="B92" t="s">
        <v>98</v>
      </c>
      <c r="C92" t="s">
        <v>8</v>
      </c>
      <c r="D92">
        <v>5212</v>
      </c>
      <c r="F92" s="4" t="s">
        <v>128</v>
      </c>
      <c r="G92">
        <v>4967</v>
      </c>
    </row>
    <row r="93" spans="1:7" x14ac:dyDescent="0.35">
      <c r="A93" t="s">
        <v>4</v>
      </c>
      <c r="B93" t="s">
        <v>99</v>
      </c>
      <c r="C93" t="s">
        <v>8</v>
      </c>
      <c r="D93">
        <v>5211</v>
      </c>
      <c r="F93" s="4" t="s">
        <v>126</v>
      </c>
      <c r="G93">
        <v>4976</v>
      </c>
    </row>
    <row r="94" spans="1:7" x14ac:dyDescent="0.35">
      <c r="A94" t="s">
        <v>4</v>
      </c>
      <c r="B94" t="s">
        <v>100</v>
      </c>
      <c r="C94" t="s">
        <v>8</v>
      </c>
      <c r="D94">
        <v>5211</v>
      </c>
      <c r="F94" s="4" t="s">
        <v>141</v>
      </c>
      <c r="G94">
        <v>4977</v>
      </c>
    </row>
    <row r="95" spans="1:7" x14ac:dyDescent="0.35">
      <c r="A95" t="s">
        <v>4</v>
      </c>
      <c r="B95" t="s">
        <v>101</v>
      </c>
      <c r="C95" t="s">
        <v>6</v>
      </c>
      <c r="D95">
        <v>5211</v>
      </c>
      <c r="F95" s="4" t="s">
        <v>124</v>
      </c>
      <c r="G95">
        <v>4986</v>
      </c>
    </row>
    <row r="96" spans="1:7" x14ac:dyDescent="0.35">
      <c r="A96" t="s">
        <v>4</v>
      </c>
      <c r="B96" t="s">
        <v>102</v>
      </c>
      <c r="C96" t="s">
        <v>11</v>
      </c>
      <c r="D96">
        <v>5204</v>
      </c>
      <c r="F96" s="4" t="s">
        <v>123</v>
      </c>
      <c r="G96">
        <v>4993</v>
      </c>
    </row>
    <row r="97" spans="1:7" x14ac:dyDescent="0.35">
      <c r="A97" t="s">
        <v>4</v>
      </c>
      <c r="B97" t="s">
        <v>103</v>
      </c>
      <c r="C97" t="s">
        <v>8</v>
      </c>
      <c r="D97">
        <v>5204</v>
      </c>
      <c r="F97" s="4" t="s">
        <v>134</v>
      </c>
      <c r="G97">
        <v>4996</v>
      </c>
    </row>
    <row r="98" spans="1:7" x14ac:dyDescent="0.35">
      <c r="A98" t="s">
        <v>4</v>
      </c>
      <c r="B98" t="s">
        <v>104</v>
      </c>
      <c r="C98" t="s">
        <v>6</v>
      </c>
      <c r="D98">
        <v>5181</v>
      </c>
      <c r="F98" s="4" t="s">
        <v>133</v>
      </c>
      <c r="G98">
        <v>5007</v>
      </c>
    </row>
    <row r="99" spans="1:7" x14ac:dyDescent="0.35">
      <c r="A99" t="s">
        <v>4</v>
      </c>
      <c r="B99" t="s">
        <v>105</v>
      </c>
      <c r="C99" t="s">
        <v>8</v>
      </c>
      <c r="D99">
        <v>5180</v>
      </c>
      <c r="F99" s="4" t="s">
        <v>121</v>
      </c>
      <c r="G99">
        <v>5036</v>
      </c>
    </row>
    <row r="100" spans="1:7" x14ac:dyDescent="0.35">
      <c r="A100" t="s">
        <v>4</v>
      </c>
      <c r="B100" t="s">
        <v>106</v>
      </c>
      <c r="C100" t="s">
        <v>6</v>
      </c>
      <c r="D100">
        <v>5176</v>
      </c>
      <c r="F100" s="4" t="s">
        <v>120</v>
      </c>
      <c r="G100">
        <v>5040</v>
      </c>
    </row>
    <row r="101" spans="1:7" x14ac:dyDescent="0.35">
      <c r="A101" t="s">
        <v>4</v>
      </c>
      <c r="B101" t="s">
        <v>107</v>
      </c>
      <c r="C101" t="s">
        <v>6</v>
      </c>
      <c r="D101">
        <v>5176</v>
      </c>
      <c r="F101" s="4" t="s">
        <v>117</v>
      </c>
      <c r="G101">
        <v>5058</v>
      </c>
    </row>
    <row r="102" spans="1:7" x14ac:dyDescent="0.35">
      <c r="A102" t="s">
        <v>4</v>
      </c>
      <c r="B102" t="s">
        <v>108</v>
      </c>
      <c r="C102" t="s">
        <v>11</v>
      </c>
      <c r="D102">
        <v>5167</v>
      </c>
      <c r="F102" s="4" t="s">
        <v>142</v>
      </c>
      <c r="G102">
        <v>5062</v>
      </c>
    </row>
    <row r="103" spans="1:7" x14ac:dyDescent="0.35">
      <c r="A103" t="s">
        <v>4</v>
      </c>
      <c r="B103" t="s">
        <v>109</v>
      </c>
      <c r="C103" t="s">
        <v>8</v>
      </c>
      <c r="D103">
        <v>5156</v>
      </c>
      <c r="F103" s="4" t="s">
        <v>116</v>
      </c>
      <c r="G103">
        <v>5073</v>
      </c>
    </row>
    <row r="104" spans="1:7" x14ac:dyDescent="0.35">
      <c r="A104" t="s">
        <v>4</v>
      </c>
      <c r="B104" t="s">
        <v>110</v>
      </c>
      <c r="C104" t="s">
        <v>8</v>
      </c>
      <c r="D104">
        <v>5142</v>
      </c>
      <c r="F104" s="4" t="s">
        <v>115</v>
      </c>
      <c r="G104">
        <v>5074</v>
      </c>
    </row>
    <row r="105" spans="1:7" x14ac:dyDescent="0.35">
      <c r="A105" t="s">
        <v>4</v>
      </c>
      <c r="B105" t="s">
        <v>111</v>
      </c>
      <c r="C105" t="s">
        <v>8</v>
      </c>
      <c r="D105">
        <v>5141</v>
      </c>
      <c r="F105" s="4" t="s">
        <v>137</v>
      </c>
      <c r="G105">
        <v>5079</v>
      </c>
    </row>
    <row r="106" spans="1:7" x14ac:dyDescent="0.35">
      <c r="A106" t="s">
        <v>4</v>
      </c>
      <c r="B106" t="s">
        <v>112</v>
      </c>
      <c r="C106" t="s">
        <v>11</v>
      </c>
      <c r="D106">
        <v>5128</v>
      </c>
      <c r="F106" s="4" t="s">
        <v>138</v>
      </c>
      <c r="G106">
        <v>5091</v>
      </c>
    </row>
    <row r="107" spans="1:7" x14ac:dyDescent="0.35">
      <c r="A107" t="s">
        <v>4</v>
      </c>
      <c r="B107" t="s">
        <v>113</v>
      </c>
      <c r="C107" t="s">
        <v>11</v>
      </c>
      <c r="D107">
        <v>5108</v>
      </c>
      <c r="F107" s="4" t="s">
        <v>127</v>
      </c>
      <c r="G107">
        <v>5094</v>
      </c>
    </row>
    <row r="108" spans="1:7" x14ac:dyDescent="0.35">
      <c r="A108" t="s">
        <v>4</v>
      </c>
      <c r="B108" t="s">
        <v>114</v>
      </c>
      <c r="C108" t="s">
        <v>8</v>
      </c>
      <c r="D108">
        <v>5093</v>
      </c>
      <c r="F108" s="4" t="s">
        <v>113</v>
      </c>
      <c r="G108">
        <v>5108</v>
      </c>
    </row>
    <row r="109" spans="1:7" x14ac:dyDescent="0.35">
      <c r="A109" t="s">
        <v>4</v>
      </c>
      <c r="B109" t="s">
        <v>115</v>
      </c>
      <c r="C109" t="s">
        <v>6</v>
      </c>
      <c r="D109">
        <v>5074</v>
      </c>
      <c r="F109" s="4" t="s">
        <v>118</v>
      </c>
      <c r="G109">
        <v>5150</v>
      </c>
    </row>
    <row r="110" spans="1:7" x14ac:dyDescent="0.35">
      <c r="A110" t="s">
        <v>4</v>
      </c>
      <c r="B110" t="s">
        <v>116</v>
      </c>
      <c r="C110" t="s">
        <v>11</v>
      </c>
      <c r="D110">
        <v>5073</v>
      </c>
      <c r="F110" s="4" t="s">
        <v>125</v>
      </c>
      <c r="G110">
        <v>5156</v>
      </c>
    </row>
    <row r="111" spans="1:7" x14ac:dyDescent="0.35">
      <c r="A111" t="s">
        <v>4</v>
      </c>
      <c r="B111" t="s">
        <v>117</v>
      </c>
      <c r="C111" t="s">
        <v>8</v>
      </c>
      <c r="D111">
        <v>5058</v>
      </c>
      <c r="F111" s="4" t="s">
        <v>129</v>
      </c>
      <c r="G111">
        <v>5171</v>
      </c>
    </row>
    <row r="112" spans="1:7" x14ac:dyDescent="0.35">
      <c r="A112" t="s">
        <v>4</v>
      </c>
      <c r="B112" t="s">
        <v>118</v>
      </c>
      <c r="C112" t="s">
        <v>6</v>
      </c>
      <c r="D112">
        <v>5050</v>
      </c>
      <c r="F112" s="4" t="s">
        <v>106</v>
      </c>
      <c r="G112">
        <v>5176</v>
      </c>
    </row>
    <row r="113" spans="1:7" x14ac:dyDescent="0.35">
      <c r="A113" t="s">
        <v>4</v>
      </c>
      <c r="B113" t="s">
        <v>119</v>
      </c>
      <c r="C113" t="s">
        <v>11</v>
      </c>
      <c r="D113">
        <v>5047</v>
      </c>
      <c r="F113" s="4" t="s">
        <v>105</v>
      </c>
      <c r="G113">
        <v>5180</v>
      </c>
    </row>
    <row r="114" spans="1:7" x14ac:dyDescent="0.35">
      <c r="A114" t="s">
        <v>4</v>
      </c>
      <c r="B114" t="s">
        <v>120</v>
      </c>
      <c r="C114" t="s">
        <v>11</v>
      </c>
      <c r="D114">
        <v>5040</v>
      </c>
      <c r="F114" s="4" t="s">
        <v>114</v>
      </c>
      <c r="G114">
        <v>5187</v>
      </c>
    </row>
    <row r="115" spans="1:7" x14ac:dyDescent="0.35">
      <c r="A115" t="s">
        <v>4</v>
      </c>
      <c r="B115" t="s">
        <v>121</v>
      </c>
      <c r="C115" t="s">
        <v>6</v>
      </c>
      <c r="D115">
        <v>5036</v>
      </c>
      <c r="F115" s="4" t="s">
        <v>140</v>
      </c>
      <c r="G115">
        <v>5189</v>
      </c>
    </row>
    <row r="116" spans="1:7" x14ac:dyDescent="0.35">
      <c r="A116" t="s">
        <v>4</v>
      </c>
      <c r="B116" t="s">
        <v>122</v>
      </c>
      <c r="C116" t="s">
        <v>11</v>
      </c>
      <c r="D116">
        <v>5002</v>
      </c>
      <c r="F116" s="4" t="s">
        <v>103</v>
      </c>
      <c r="G116">
        <v>5204</v>
      </c>
    </row>
    <row r="117" spans="1:7" x14ac:dyDescent="0.35">
      <c r="A117" t="s">
        <v>4</v>
      </c>
      <c r="B117" t="s">
        <v>123</v>
      </c>
      <c r="C117" t="s">
        <v>11</v>
      </c>
      <c r="D117">
        <v>4993</v>
      </c>
      <c r="F117" s="4" t="s">
        <v>102</v>
      </c>
      <c r="G117">
        <v>5204</v>
      </c>
    </row>
    <row r="118" spans="1:7" x14ac:dyDescent="0.35">
      <c r="A118" t="s">
        <v>4</v>
      </c>
      <c r="B118" t="s">
        <v>124</v>
      </c>
      <c r="C118" t="s">
        <v>8</v>
      </c>
      <c r="D118">
        <v>4986</v>
      </c>
      <c r="F118" s="4" t="s">
        <v>122</v>
      </c>
      <c r="G118">
        <v>5211</v>
      </c>
    </row>
    <row r="119" spans="1:7" x14ac:dyDescent="0.35">
      <c r="A119" t="s">
        <v>4</v>
      </c>
      <c r="B119" t="s">
        <v>125</v>
      </c>
      <c r="C119" t="s">
        <v>8</v>
      </c>
      <c r="D119">
        <v>4984</v>
      </c>
      <c r="F119" s="4" t="s">
        <v>98</v>
      </c>
      <c r="G119">
        <v>5212</v>
      </c>
    </row>
    <row r="120" spans="1:7" x14ac:dyDescent="0.35">
      <c r="A120" t="s">
        <v>4</v>
      </c>
      <c r="B120" t="s">
        <v>126</v>
      </c>
      <c r="C120" t="s">
        <v>11</v>
      </c>
      <c r="D120">
        <v>4976</v>
      </c>
      <c r="F120" s="4" t="s">
        <v>97</v>
      </c>
      <c r="G120">
        <v>5212</v>
      </c>
    </row>
    <row r="121" spans="1:7" x14ac:dyDescent="0.35">
      <c r="A121" t="s">
        <v>4</v>
      </c>
      <c r="B121" t="s">
        <v>127</v>
      </c>
      <c r="C121" t="s">
        <v>11</v>
      </c>
      <c r="D121">
        <v>4972</v>
      </c>
      <c r="F121" s="4" t="s">
        <v>96</v>
      </c>
      <c r="G121">
        <v>5213</v>
      </c>
    </row>
    <row r="122" spans="1:7" x14ac:dyDescent="0.35">
      <c r="A122" t="s">
        <v>4</v>
      </c>
      <c r="B122" t="s">
        <v>128</v>
      </c>
      <c r="C122" t="s">
        <v>8</v>
      </c>
      <c r="D122">
        <v>4967</v>
      </c>
      <c r="F122" s="4" t="s">
        <v>130</v>
      </c>
      <c r="G122">
        <v>5227</v>
      </c>
    </row>
    <row r="123" spans="1:7" x14ac:dyDescent="0.35">
      <c r="A123" t="s">
        <v>4</v>
      </c>
      <c r="B123" t="s">
        <v>129</v>
      </c>
      <c r="C123" t="s">
        <v>8</v>
      </c>
      <c r="D123">
        <v>4949</v>
      </c>
      <c r="F123" s="4" t="s">
        <v>112</v>
      </c>
      <c r="G123">
        <v>5229</v>
      </c>
    </row>
    <row r="124" spans="1:7" x14ac:dyDescent="0.35">
      <c r="A124" t="s">
        <v>4</v>
      </c>
      <c r="B124" t="s">
        <v>130</v>
      </c>
      <c r="C124" t="s">
        <v>11</v>
      </c>
      <c r="D124">
        <v>4919</v>
      </c>
      <c r="F124" s="4" t="s">
        <v>111</v>
      </c>
      <c r="G124">
        <v>5236</v>
      </c>
    </row>
    <row r="125" spans="1:7" x14ac:dyDescent="0.35">
      <c r="A125" t="s">
        <v>4</v>
      </c>
      <c r="B125" t="s">
        <v>131</v>
      </c>
      <c r="C125" t="s">
        <v>6</v>
      </c>
      <c r="D125">
        <v>4916</v>
      </c>
      <c r="F125" s="4" t="s">
        <v>93</v>
      </c>
      <c r="G125">
        <v>5237</v>
      </c>
    </row>
    <row r="126" spans="1:7" x14ac:dyDescent="0.35">
      <c r="A126" t="s">
        <v>4</v>
      </c>
      <c r="B126" t="s">
        <v>132</v>
      </c>
      <c r="C126" t="s">
        <v>11</v>
      </c>
      <c r="D126">
        <v>4913</v>
      </c>
      <c r="F126" s="4" t="s">
        <v>119</v>
      </c>
      <c r="G126">
        <v>5248</v>
      </c>
    </row>
    <row r="127" spans="1:7" x14ac:dyDescent="0.35">
      <c r="A127" t="s">
        <v>4</v>
      </c>
      <c r="B127" t="s">
        <v>133</v>
      </c>
      <c r="C127" t="s">
        <v>6</v>
      </c>
      <c r="D127">
        <v>4913</v>
      </c>
      <c r="F127" s="4" t="s">
        <v>91</v>
      </c>
      <c r="G127">
        <v>5252</v>
      </c>
    </row>
    <row r="128" spans="1:7" x14ac:dyDescent="0.35">
      <c r="A128" t="s">
        <v>4</v>
      </c>
      <c r="B128" t="s">
        <v>134</v>
      </c>
      <c r="C128" t="s">
        <v>8</v>
      </c>
      <c r="D128">
        <v>4895</v>
      </c>
      <c r="F128" s="4" t="s">
        <v>90</v>
      </c>
      <c r="G128">
        <v>5253</v>
      </c>
    </row>
    <row r="129" spans="1:7" x14ac:dyDescent="0.35">
      <c r="A129" t="s">
        <v>4</v>
      </c>
      <c r="B129" t="s">
        <v>135</v>
      </c>
      <c r="C129" t="s">
        <v>8</v>
      </c>
      <c r="D129">
        <v>4882</v>
      </c>
      <c r="F129" s="4" t="s">
        <v>107</v>
      </c>
      <c r="G129">
        <v>5263</v>
      </c>
    </row>
    <row r="130" spans="1:7" x14ac:dyDescent="0.35">
      <c r="A130" t="s">
        <v>4</v>
      </c>
      <c r="B130" t="s">
        <v>136</v>
      </c>
      <c r="C130" t="s">
        <v>8</v>
      </c>
      <c r="D130">
        <v>4879</v>
      </c>
      <c r="F130" s="4" t="s">
        <v>88</v>
      </c>
      <c r="G130">
        <v>5272</v>
      </c>
    </row>
    <row r="131" spans="1:7" x14ac:dyDescent="0.35">
      <c r="A131" t="s">
        <v>4</v>
      </c>
      <c r="B131" t="s">
        <v>137</v>
      </c>
      <c r="C131" t="s">
        <v>8</v>
      </c>
      <c r="D131">
        <v>4878</v>
      </c>
      <c r="F131" s="4" t="s">
        <v>109</v>
      </c>
      <c r="G131">
        <v>5282</v>
      </c>
    </row>
    <row r="132" spans="1:7" x14ac:dyDescent="0.35">
      <c r="A132" t="s">
        <v>4</v>
      </c>
      <c r="B132" t="s">
        <v>138</v>
      </c>
      <c r="C132" t="s">
        <v>8</v>
      </c>
      <c r="D132">
        <v>4858</v>
      </c>
      <c r="F132" s="4" t="s">
        <v>87</v>
      </c>
      <c r="G132">
        <v>5282</v>
      </c>
    </row>
    <row r="133" spans="1:7" x14ac:dyDescent="0.35">
      <c r="A133" t="s">
        <v>4</v>
      </c>
      <c r="B133" t="s">
        <v>139</v>
      </c>
      <c r="C133" t="s">
        <v>11</v>
      </c>
      <c r="D133">
        <v>4855</v>
      </c>
      <c r="F133" s="4" t="s">
        <v>99</v>
      </c>
      <c r="G133">
        <v>5286</v>
      </c>
    </row>
    <row r="134" spans="1:7" x14ac:dyDescent="0.35">
      <c r="A134" t="s">
        <v>4</v>
      </c>
      <c r="B134" t="s">
        <v>140</v>
      </c>
      <c r="C134" t="s">
        <v>6</v>
      </c>
      <c r="D134">
        <v>4854</v>
      </c>
      <c r="F134" s="4" t="s">
        <v>86</v>
      </c>
      <c r="G134">
        <v>5287</v>
      </c>
    </row>
    <row r="135" spans="1:7" x14ac:dyDescent="0.35">
      <c r="A135" t="s">
        <v>4</v>
      </c>
      <c r="B135" t="s">
        <v>141</v>
      </c>
      <c r="C135" t="s">
        <v>8</v>
      </c>
      <c r="D135">
        <v>4852</v>
      </c>
      <c r="F135" s="4" t="s">
        <v>108</v>
      </c>
      <c r="G135">
        <v>5289</v>
      </c>
    </row>
    <row r="136" spans="1:7" x14ac:dyDescent="0.35">
      <c r="A136" t="s">
        <v>4</v>
      </c>
      <c r="B136" t="s">
        <v>142</v>
      </c>
      <c r="C136" t="s">
        <v>11</v>
      </c>
      <c r="D136">
        <v>4850</v>
      </c>
      <c r="F136" s="4" t="s">
        <v>84</v>
      </c>
      <c r="G136">
        <v>5302</v>
      </c>
    </row>
    <row r="137" spans="1:7" x14ac:dyDescent="0.35">
      <c r="A137" t="s">
        <v>4</v>
      </c>
      <c r="B137" t="s">
        <v>143</v>
      </c>
      <c r="C137" t="s">
        <v>8</v>
      </c>
      <c r="D137">
        <v>4844</v>
      </c>
      <c r="F137" s="4" t="s">
        <v>95</v>
      </c>
      <c r="G137">
        <v>5335</v>
      </c>
    </row>
    <row r="138" spans="1:7" x14ac:dyDescent="0.35">
      <c r="A138" t="s">
        <v>4</v>
      </c>
      <c r="B138" t="s">
        <v>144</v>
      </c>
      <c r="C138" t="s">
        <v>11</v>
      </c>
      <c r="D138">
        <v>4834</v>
      </c>
      <c r="F138" s="4" t="s">
        <v>136</v>
      </c>
      <c r="G138">
        <v>5339</v>
      </c>
    </row>
    <row r="139" spans="1:7" x14ac:dyDescent="0.35">
      <c r="A139" t="s">
        <v>4</v>
      </c>
      <c r="B139" t="s">
        <v>145</v>
      </c>
      <c r="C139" t="s">
        <v>6</v>
      </c>
      <c r="D139">
        <v>4825</v>
      </c>
      <c r="F139" s="4" t="s">
        <v>110</v>
      </c>
      <c r="G139">
        <v>5348</v>
      </c>
    </row>
    <row r="140" spans="1:7" x14ac:dyDescent="0.35">
      <c r="A140" t="s">
        <v>4</v>
      </c>
      <c r="B140" t="s">
        <v>146</v>
      </c>
      <c r="C140" t="s">
        <v>11</v>
      </c>
      <c r="D140">
        <v>4793</v>
      </c>
      <c r="F140" s="4" t="s">
        <v>89</v>
      </c>
      <c r="G140">
        <v>5348</v>
      </c>
    </row>
    <row r="141" spans="1:7" x14ac:dyDescent="0.35">
      <c r="A141" t="s">
        <v>4</v>
      </c>
      <c r="B141" t="s">
        <v>147</v>
      </c>
      <c r="C141" t="s">
        <v>8</v>
      </c>
      <c r="D141">
        <v>4783</v>
      </c>
      <c r="F141" s="4" t="s">
        <v>81</v>
      </c>
      <c r="G141">
        <v>5351</v>
      </c>
    </row>
    <row r="142" spans="1:7" x14ac:dyDescent="0.35">
      <c r="A142" t="s">
        <v>4</v>
      </c>
      <c r="B142" t="s">
        <v>148</v>
      </c>
      <c r="C142" t="s">
        <v>8</v>
      </c>
      <c r="D142">
        <v>4774</v>
      </c>
      <c r="F142" s="4" t="s">
        <v>94</v>
      </c>
      <c r="G142">
        <v>5355</v>
      </c>
    </row>
    <row r="143" spans="1:7" x14ac:dyDescent="0.35">
      <c r="A143" t="s">
        <v>4</v>
      </c>
      <c r="B143" t="s">
        <v>149</v>
      </c>
      <c r="C143" t="s">
        <v>8</v>
      </c>
      <c r="D143">
        <v>4745</v>
      </c>
      <c r="F143" s="4" t="s">
        <v>100</v>
      </c>
      <c r="G143">
        <v>5367</v>
      </c>
    </row>
    <row r="144" spans="1:7" x14ac:dyDescent="0.35">
      <c r="A144" t="s">
        <v>4</v>
      </c>
      <c r="B144" t="s">
        <v>150</v>
      </c>
      <c r="C144" t="s">
        <v>8</v>
      </c>
      <c r="D144">
        <v>4736</v>
      </c>
      <c r="F144" s="4" t="s">
        <v>101</v>
      </c>
      <c r="G144">
        <v>5368</v>
      </c>
    </row>
    <row r="145" spans="1:7" x14ac:dyDescent="0.35">
      <c r="A145" t="s">
        <v>4</v>
      </c>
      <c r="B145" t="s">
        <v>151</v>
      </c>
      <c r="C145" t="s">
        <v>11</v>
      </c>
      <c r="D145">
        <v>4712</v>
      </c>
      <c r="F145" s="4" t="s">
        <v>104</v>
      </c>
      <c r="G145">
        <v>5400</v>
      </c>
    </row>
    <row r="146" spans="1:7" x14ac:dyDescent="0.35">
      <c r="A146" t="s">
        <v>4</v>
      </c>
      <c r="B146" t="s">
        <v>152</v>
      </c>
      <c r="C146" t="s">
        <v>11</v>
      </c>
      <c r="D146">
        <v>4712</v>
      </c>
      <c r="F146" s="4" t="s">
        <v>76</v>
      </c>
      <c r="G146">
        <v>5444</v>
      </c>
    </row>
    <row r="147" spans="1:7" x14ac:dyDescent="0.35">
      <c r="A147" t="s">
        <v>4</v>
      </c>
      <c r="B147" t="s">
        <v>153</v>
      </c>
      <c r="C147" t="s">
        <v>8</v>
      </c>
      <c r="D147">
        <v>4698</v>
      </c>
      <c r="F147" s="4" t="s">
        <v>92</v>
      </c>
      <c r="G147">
        <v>5471</v>
      </c>
    </row>
    <row r="148" spans="1:7" x14ac:dyDescent="0.35">
      <c r="A148" t="s">
        <v>4</v>
      </c>
      <c r="B148" t="s">
        <v>154</v>
      </c>
      <c r="C148" t="s">
        <v>11</v>
      </c>
      <c r="D148">
        <v>4697</v>
      </c>
      <c r="F148" s="4" t="s">
        <v>74</v>
      </c>
      <c r="G148">
        <v>5477</v>
      </c>
    </row>
    <row r="149" spans="1:7" x14ac:dyDescent="0.35">
      <c r="A149" t="s">
        <v>4</v>
      </c>
      <c r="B149" t="s">
        <v>155</v>
      </c>
      <c r="C149" t="s">
        <v>6</v>
      </c>
      <c r="D149">
        <v>4682</v>
      </c>
      <c r="F149" s="4" t="s">
        <v>72</v>
      </c>
      <c r="G149">
        <v>5479</v>
      </c>
    </row>
    <row r="150" spans="1:7" x14ac:dyDescent="0.35">
      <c r="A150" t="s">
        <v>4</v>
      </c>
      <c r="B150" t="s">
        <v>156</v>
      </c>
      <c r="C150" t="s">
        <v>6</v>
      </c>
      <c r="D150">
        <v>4674</v>
      </c>
      <c r="F150" s="4" t="s">
        <v>73</v>
      </c>
      <c r="G150">
        <v>5479</v>
      </c>
    </row>
    <row r="151" spans="1:7" x14ac:dyDescent="0.35">
      <c r="A151" t="s">
        <v>4</v>
      </c>
      <c r="B151" t="s">
        <v>157</v>
      </c>
      <c r="C151" t="s">
        <v>8</v>
      </c>
      <c r="D151">
        <v>4656</v>
      </c>
      <c r="F151" s="4" t="s">
        <v>71</v>
      </c>
      <c r="G151">
        <v>5498</v>
      </c>
    </row>
    <row r="152" spans="1:7" x14ac:dyDescent="0.35">
      <c r="A152" t="s">
        <v>4</v>
      </c>
      <c r="B152" t="s">
        <v>158</v>
      </c>
      <c r="C152" t="s">
        <v>6</v>
      </c>
      <c r="D152">
        <v>4654</v>
      </c>
      <c r="F152" s="4" t="s">
        <v>70</v>
      </c>
      <c r="G152">
        <v>5523</v>
      </c>
    </row>
    <row r="153" spans="1:7" x14ac:dyDescent="0.35">
      <c r="A153" t="s">
        <v>4</v>
      </c>
      <c r="B153" t="s">
        <v>159</v>
      </c>
      <c r="C153" t="s">
        <v>8</v>
      </c>
      <c r="D153">
        <v>4651</v>
      </c>
      <c r="F153" s="4" t="s">
        <v>69</v>
      </c>
      <c r="G153">
        <v>5523</v>
      </c>
    </row>
    <row r="154" spans="1:7" x14ac:dyDescent="0.35">
      <c r="A154" t="s">
        <v>4</v>
      </c>
      <c r="B154" t="s">
        <v>160</v>
      </c>
      <c r="C154" t="s">
        <v>11</v>
      </c>
      <c r="D154">
        <v>4605</v>
      </c>
      <c r="F154" s="4" t="s">
        <v>85</v>
      </c>
      <c r="G154">
        <v>5529</v>
      </c>
    </row>
    <row r="155" spans="1:7" x14ac:dyDescent="0.35">
      <c r="A155" t="s">
        <v>4</v>
      </c>
      <c r="B155" t="s">
        <v>161</v>
      </c>
      <c r="C155" t="s">
        <v>8</v>
      </c>
      <c r="D155">
        <v>4598</v>
      </c>
      <c r="F155" s="4" t="s">
        <v>78</v>
      </c>
      <c r="G155">
        <v>5531</v>
      </c>
    </row>
    <row r="156" spans="1:7" x14ac:dyDescent="0.35">
      <c r="A156" t="s">
        <v>4</v>
      </c>
      <c r="B156" t="s">
        <v>162</v>
      </c>
      <c r="C156" t="s">
        <v>8</v>
      </c>
      <c r="D156">
        <v>4593</v>
      </c>
      <c r="F156" s="4" t="s">
        <v>66</v>
      </c>
      <c r="G156">
        <v>5541</v>
      </c>
    </row>
    <row r="157" spans="1:7" x14ac:dyDescent="0.35">
      <c r="A157" t="s">
        <v>4</v>
      </c>
      <c r="B157" t="s">
        <v>163</v>
      </c>
      <c r="C157" t="s">
        <v>11</v>
      </c>
      <c r="D157">
        <v>4581</v>
      </c>
      <c r="F157" s="4" t="s">
        <v>75</v>
      </c>
      <c r="G157">
        <v>5564</v>
      </c>
    </row>
    <row r="158" spans="1:7" x14ac:dyDescent="0.35">
      <c r="A158" t="s">
        <v>4</v>
      </c>
      <c r="B158" t="s">
        <v>164</v>
      </c>
      <c r="C158" t="s">
        <v>6</v>
      </c>
      <c r="D158">
        <v>4578</v>
      </c>
      <c r="F158" s="4" t="s">
        <v>77</v>
      </c>
      <c r="G158">
        <v>5569</v>
      </c>
    </row>
    <row r="159" spans="1:7" x14ac:dyDescent="0.35">
      <c r="A159" t="s">
        <v>4</v>
      </c>
      <c r="B159" t="s">
        <v>165</v>
      </c>
      <c r="C159" t="s">
        <v>11</v>
      </c>
      <c r="D159">
        <v>4551</v>
      </c>
      <c r="F159" s="4" t="s">
        <v>80</v>
      </c>
      <c r="G159">
        <v>5574</v>
      </c>
    </row>
    <row r="160" spans="1:7" x14ac:dyDescent="0.35">
      <c r="A160" t="s">
        <v>4</v>
      </c>
      <c r="B160" t="s">
        <v>166</v>
      </c>
      <c r="C160" t="s">
        <v>6</v>
      </c>
      <c r="D160">
        <v>4551</v>
      </c>
      <c r="F160" s="4" t="s">
        <v>83</v>
      </c>
      <c r="G160">
        <v>5588</v>
      </c>
    </row>
    <row r="161" spans="1:7" x14ac:dyDescent="0.35">
      <c r="A161" t="s">
        <v>4</v>
      </c>
      <c r="B161" t="s">
        <v>167</v>
      </c>
      <c r="C161" t="s">
        <v>6</v>
      </c>
      <c r="D161">
        <v>4550</v>
      </c>
      <c r="F161" s="4" t="s">
        <v>82</v>
      </c>
      <c r="G161">
        <v>5616</v>
      </c>
    </row>
    <row r="162" spans="1:7" x14ac:dyDescent="0.35">
      <c r="A162" t="s">
        <v>4</v>
      </c>
      <c r="B162" t="s">
        <v>168</v>
      </c>
      <c r="C162" t="s">
        <v>6</v>
      </c>
      <c r="D162">
        <v>4550</v>
      </c>
      <c r="F162" s="4" t="s">
        <v>67</v>
      </c>
      <c r="G162">
        <v>5634</v>
      </c>
    </row>
    <row r="163" spans="1:7" x14ac:dyDescent="0.35">
      <c r="A163" t="s">
        <v>4</v>
      </c>
      <c r="B163" t="s">
        <v>169</v>
      </c>
      <c r="C163" t="s">
        <v>11</v>
      </c>
      <c r="D163">
        <v>4523</v>
      </c>
      <c r="F163" s="4" t="s">
        <v>68</v>
      </c>
      <c r="G163">
        <v>5654</v>
      </c>
    </row>
    <row r="164" spans="1:7" x14ac:dyDescent="0.35">
      <c r="A164" t="s">
        <v>4</v>
      </c>
      <c r="B164" t="s">
        <v>170</v>
      </c>
      <c r="C164" t="s">
        <v>11</v>
      </c>
      <c r="D164">
        <v>4505</v>
      </c>
      <c r="F164" s="4" t="s">
        <v>58</v>
      </c>
      <c r="G164">
        <v>5654</v>
      </c>
    </row>
    <row r="165" spans="1:7" x14ac:dyDescent="0.35">
      <c r="A165" t="s">
        <v>4</v>
      </c>
      <c r="B165" t="s">
        <v>171</v>
      </c>
      <c r="C165" t="s">
        <v>6</v>
      </c>
      <c r="D165">
        <v>4489</v>
      </c>
      <c r="F165" s="4" t="s">
        <v>62</v>
      </c>
      <c r="G165">
        <v>5660</v>
      </c>
    </row>
    <row r="166" spans="1:7" x14ac:dyDescent="0.35">
      <c r="A166" t="s">
        <v>4</v>
      </c>
      <c r="B166" t="s">
        <v>172</v>
      </c>
      <c r="C166" t="s">
        <v>6</v>
      </c>
      <c r="D166">
        <v>4486</v>
      </c>
      <c r="F166" s="4" t="s">
        <v>55</v>
      </c>
      <c r="G166">
        <v>5695</v>
      </c>
    </row>
    <row r="167" spans="1:7" x14ac:dyDescent="0.35">
      <c r="A167" t="s">
        <v>4</v>
      </c>
      <c r="B167" t="s">
        <v>173</v>
      </c>
      <c r="C167" t="s">
        <v>8</v>
      </c>
      <c r="D167">
        <v>4447</v>
      </c>
      <c r="F167" s="4" t="s">
        <v>63</v>
      </c>
      <c r="G167">
        <v>5696</v>
      </c>
    </row>
    <row r="168" spans="1:7" x14ac:dyDescent="0.35">
      <c r="A168" t="s">
        <v>4</v>
      </c>
      <c r="B168" t="s">
        <v>174</v>
      </c>
      <c r="C168" t="s">
        <v>6</v>
      </c>
      <c r="D168">
        <v>4425</v>
      </c>
      <c r="F168" s="4" t="s">
        <v>79</v>
      </c>
      <c r="G168">
        <v>5699</v>
      </c>
    </row>
    <row r="169" spans="1:7" x14ac:dyDescent="0.35">
      <c r="A169" t="s">
        <v>4</v>
      </c>
      <c r="B169" t="s">
        <v>175</v>
      </c>
      <c r="C169" t="s">
        <v>11</v>
      </c>
      <c r="D169">
        <v>4418</v>
      </c>
      <c r="F169" s="4" t="s">
        <v>61</v>
      </c>
      <c r="G169">
        <v>5717</v>
      </c>
    </row>
    <row r="170" spans="1:7" x14ac:dyDescent="0.35">
      <c r="A170" t="s">
        <v>4</v>
      </c>
      <c r="B170" t="s">
        <v>176</v>
      </c>
      <c r="C170" t="s">
        <v>6</v>
      </c>
      <c r="D170">
        <v>4406</v>
      </c>
      <c r="F170" s="4" t="s">
        <v>65</v>
      </c>
      <c r="G170">
        <v>5737</v>
      </c>
    </row>
    <row r="171" spans="1:7" x14ac:dyDescent="0.35">
      <c r="A171" t="s">
        <v>4</v>
      </c>
      <c r="B171" t="s">
        <v>177</v>
      </c>
      <c r="C171" t="s">
        <v>6</v>
      </c>
      <c r="D171">
        <v>4396</v>
      </c>
      <c r="F171" s="4" t="s">
        <v>54</v>
      </c>
      <c r="G171">
        <v>5745</v>
      </c>
    </row>
    <row r="172" spans="1:7" x14ac:dyDescent="0.35">
      <c r="A172" t="s">
        <v>4</v>
      </c>
      <c r="B172" t="s">
        <v>178</v>
      </c>
      <c r="C172" t="s">
        <v>6</v>
      </c>
      <c r="D172">
        <v>4391</v>
      </c>
      <c r="F172" s="4" t="s">
        <v>57</v>
      </c>
      <c r="G172">
        <v>5769</v>
      </c>
    </row>
    <row r="173" spans="1:7" x14ac:dyDescent="0.35">
      <c r="A173" t="s">
        <v>4</v>
      </c>
      <c r="B173" t="s">
        <v>179</v>
      </c>
      <c r="C173" t="s">
        <v>11</v>
      </c>
      <c r="D173">
        <v>4390</v>
      </c>
      <c r="F173" s="4" t="s">
        <v>64</v>
      </c>
      <c r="G173">
        <v>5786</v>
      </c>
    </row>
    <row r="174" spans="1:7" x14ac:dyDescent="0.35">
      <c r="A174" t="s">
        <v>4</v>
      </c>
      <c r="B174" t="s">
        <v>180</v>
      </c>
      <c r="C174" t="s">
        <v>6</v>
      </c>
      <c r="D174">
        <v>4381</v>
      </c>
      <c r="F174" s="4" t="s">
        <v>59</v>
      </c>
      <c r="G174">
        <v>5799</v>
      </c>
    </row>
    <row r="175" spans="1:7" x14ac:dyDescent="0.35">
      <c r="A175" t="s">
        <v>4</v>
      </c>
      <c r="B175" t="s">
        <v>181</v>
      </c>
      <c r="C175" t="s">
        <v>8</v>
      </c>
      <c r="D175">
        <v>4374</v>
      </c>
      <c r="F175" s="4" t="s">
        <v>51</v>
      </c>
      <c r="G175">
        <v>5810</v>
      </c>
    </row>
    <row r="176" spans="1:7" x14ac:dyDescent="0.35">
      <c r="A176" t="s">
        <v>4</v>
      </c>
      <c r="B176" t="s">
        <v>182</v>
      </c>
      <c r="C176" t="s">
        <v>8</v>
      </c>
      <c r="D176">
        <v>4296</v>
      </c>
      <c r="F176" s="4" t="s">
        <v>53</v>
      </c>
      <c r="G176">
        <v>5852</v>
      </c>
    </row>
    <row r="177" spans="1:7" x14ac:dyDescent="0.35">
      <c r="A177" t="s">
        <v>4</v>
      </c>
      <c r="B177" t="s">
        <v>183</v>
      </c>
      <c r="C177" t="s">
        <v>11</v>
      </c>
      <c r="D177">
        <v>4267</v>
      </c>
      <c r="F177" s="4" t="s">
        <v>45</v>
      </c>
      <c r="G177">
        <v>5869</v>
      </c>
    </row>
    <row r="178" spans="1:7" x14ac:dyDescent="0.35">
      <c r="A178" t="s">
        <v>4</v>
      </c>
      <c r="B178" t="s">
        <v>184</v>
      </c>
      <c r="C178" t="s">
        <v>6</v>
      </c>
      <c r="D178">
        <v>4261</v>
      </c>
      <c r="F178" s="4" t="s">
        <v>43</v>
      </c>
      <c r="G178">
        <v>5881</v>
      </c>
    </row>
    <row r="179" spans="1:7" x14ac:dyDescent="0.35">
      <c r="A179" t="s">
        <v>4</v>
      </c>
      <c r="B179" t="s">
        <v>185</v>
      </c>
      <c r="C179" t="s">
        <v>8</v>
      </c>
      <c r="D179">
        <v>4259</v>
      </c>
      <c r="F179" s="4" t="s">
        <v>60</v>
      </c>
      <c r="G179">
        <v>5886</v>
      </c>
    </row>
    <row r="180" spans="1:7" x14ac:dyDescent="0.35">
      <c r="A180" t="s">
        <v>4</v>
      </c>
      <c r="B180" t="s">
        <v>186</v>
      </c>
      <c r="C180" t="s">
        <v>8</v>
      </c>
      <c r="D180">
        <v>4258</v>
      </c>
      <c r="F180" s="4" t="s">
        <v>56</v>
      </c>
      <c r="G180">
        <v>5894</v>
      </c>
    </row>
    <row r="181" spans="1:7" x14ac:dyDescent="0.35">
      <c r="A181" t="s">
        <v>4</v>
      </c>
      <c r="B181" t="s">
        <v>187</v>
      </c>
      <c r="C181" t="s">
        <v>8</v>
      </c>
      <c r="D181">
        <v>4249</v>
      </c>
      <c r="F181" s="4" t="s">
        <v>49</v>
      </c>
      <c r="G181">
        <v>5921</v>
      </c>
    </row>
    <row r="182" spans="1:7" x14ac:dyDescent="0.35">
      <c r="A182" t="s">
        <v>4</v>
      </c>
      <c r="B182" t="s">
        <v>188</v>
      </c>
      <c r="C182" t="s">
        <v>6</v>
      </c>
      <c r="D182">
        <v>4235</v>
      </c>
      <c r="F182" s="4" t="s">
        <v>38</v>
      </c>
      <c r="G182">
        <v>5933</v>
      </c>
    </row>
    <row r="183" spans="1:7" x14ac:dyDescent="0.35">
      <c r="A183" t="s">
        <v>4</v>
      </c>
      <c r="B183" t="s">
        <v>189</v>
      </c>
      <c r="C183" t="s">
        <v>6</v>
      </c>
      <c r="D183">
        <v>4222</v>
      </c>
      <c r="F183" s="4" t="s">
        <v>44</v>
      </c>
      <c r="G183">
        <v>5980</v>
      </c>
    </row>
    <row r="184" spans="1:7" x14ac:dyDescent="0.35">
      <c r="A184" t="s">
        <v>4</v>
      </c>
      <c r="B184" t="s">
        <v>190</v>
      </c>
      <c r="C184" t="s">
        <v>8</v>
      </c>
      <c r="D184">
        <v>4215</v>
      </c>
      <c r="F184" s="4" t="s">
        <v>52</v>
      </c>
      <c r="G184">
        <v>6022</v>
      </c>
    </row>
    <row r="185" spans="1:7" x14ac:dyDescent="0.35">
      <c r="A185" t="s">
        <v>4</v>
      </c>
      <c r="B185" t="s">
        <v>191</v>
      </c>
      <c r="C185" t="s">
        <v>8</v>
      </c>
      <c r="D185">
        <v>4189</v>
      </c>
      <c r="F185" s="4" t="s">
        <v>39</v>
      </c>
      <c r="G185">
        <v>6025</v>
      </c>
    </row>
    <row r="186" spans="1:7" x14ac:dyDescent="0.35">
      <c r="A186" t="s">
        <v>4</v>
      </c>
      <c r="B186" t="s">
        <v>192</v>
      </c>
      <c r="C186" t="s">
        <v>6</v>
      </c>
      <c r="D186">
        <v>4187</v>
      </c>
      <c r="F186" s="4" t="s">
        <v>40</v>
      </c>
      <c r="G186">
        <v>6031</v>
      </c>
    </row>
    <row r="187" spans="1:7" x14ac:dyDescent="0.35">
      <c r="A187" t="s">
        <v>4</v>
      </c>
      <c r="B187" t="s">
        <v>193</v>
      </c>
      <c r="C187" t="s">
        <v>11</v>
      </c>
      <c r="D187">
        <v>4187</v>
      </c>
      <c r="F187" s="4" t="s">
        <v>35</v>
      </c>
      <c r="G187">
        <v>6059</v>
      </c>
    </row>
    <row r="188" spans="1:7" x14ac:dyDescent="0.35">
      <c r="A188" t="s">
        <v>4</v>
      </c>
      <c r="B188" t="s">
        <v>194</v>
      </c>
      <c r="C188" t="s">
        <v>11</v>
      </c>
      <c r="D188">
        <v>4133</v>
      </c>
      <c r="F188" s="4" t="s">
        <v>31</v>
      </c>
      <c r="G188">
        <v>6071</v>
      </c>
    </row>
    <row r="189" spans="1:7" x14ac:dyDescent="0.35">
      <c r="A189" t="s">
        <v>4</v>
      </c>
      <c r="B189" t="s">
        <v>195</v>
      </c>
      <c r="C189" t="s">
        <v>6</v>
      </c>
      <c r="D189">
        <v>4095</v>
      </c>
      <c r="F189" s="4" t="s">
        <v>42</v>
      </c>
      <c r="G189">
        <v>6074</v>
      </c>
    </row>
    <row r="190" spans="1:7" x14ac:dyDescent="0.35">
      <c r="A190" t="s">
        <v>4</v>
      </c>
      <c r="B190" t="s">
        <v>196</v>
      </c>
      <c r="C190" t="s">
        <v>11</v>
      </c>
      <c r="D190">
        <v>4022</v>
      </c>
      <c r="F190" s="4" t="s">
        <v>46</v>
      </c>
      <c r="G190">
        <v>6082</v>
      </c>
    </row>
    <row r="191" spans="1:7" x14ac:dyDescent="0.35">
      <c r="A191" t="s">
        <v>4</v>
      </c>
      <c r="B191" t="s">
        <v>197</v>
      </c>
      <c r="C191" t="s">
        <v>6</v>
      </c>
      <c r="D191">
        <v>4001</v>
      </c>
      <c r="F191" s="4" t="s">
        <v>50</v>
      </c>
      <c r="G191">
        <v>6090</v>
      </c>
    </row>
    <row r="192" spans="1:7" x14ac:dyDescent="0.35">
      <c r="A192" t="s">
        <v>4</v>
      </c>
      <c r="B192" t="s">
        <v>198</v>
      </c>
      <c r="C192" t="s">
        <v>11</v>
      </c>
      <c r="D192">
        <v>3947</v>
      </c>
      <c r="F192" s="4" t="s">
        <v>48</v>
      </c>
      <c r="G192">
        <v>6126</v>
      </c>
    </row>
    <row r="193" spans="1:7" x14ac:dyDescent="0.35">
      <c r="A193" t="s">
        <v>4</v>
      </c>
      <c r="B193" t="s">
        <v>199</v>
      </c>
      <c r="C193" t="s">
        <v>11</v>
      </c>
      <c r="D193">
        <v>3929</v>
      </c>
      <c r="F193" s="4" t="s">
        <v>37</v>
      </c>
      <c r="G193">
        <v>6127</v>
      </c>
    </row>
    <row r="194" spans="1:7" x14ac:dyDescent="0.35">
      <c r="A194" t="s">
        <v>4</v>
      </c>
      <c r="B194" t="s">
        <v>200</v>
      </c>
      <c r="C194" t="s">
        <v>6</v>
      </c>
      <c r="D194">
        <v>3912</v>
      </c>
      <c r="F194" s="4" t="s">
        <v>41</v>
      </c>
      <c r="G194">
        <v>6128</v>
      </c>
    </row>
    <row r="195" spans="1:7" x14ac:dyDescent="0.35">
      <c r="A195" t="s">
        <v>4</v>
      </c>
      <c r="B195" t="s">
        <v>201</v>
      </c>
      <c r="C195" t="s">
        <v>8</v>
      </c>
      <c r="D195">
        <v>3860</v>
      </c>
      <c r="F195" s="4" t="s">
        <v>34</v>
      </c>
      <c r="G195">
        <v>6141</v>
      </c>
    </row>
    <row r="196" spans="1:7" x14ac:dyDescent="0.35">
      <c r="A196" t="s">
        <v>4</v>
      </c>
      <c r="B196" t="s">
        <v>202</v>
      </c>
      <c r="C196" t="s">
        <v>8</v>
      </c>
      <c r="D196">
        <v>3756</v>
      </c>
      <c r="F196" s="4" t="s">
        <v>29</v>
      </c>
      <c r="G196">
        <v>6159</v>
      </c>
    </row>
    <row r="197" spans="1:7" x14ac:dyDescent="0.35">
      <c r="A197" t="s">
        <v>4</v>
      </c>
      <c r="B197" t="s">
        <v>203</v>
      </c>
      <c r="C197" t="s">
        <v>8</v>
      </c>
      <c r="D197">
        <v>3728</v>
      </c>
      <c r="F197" s="4" t="s">
        <v>47</v>
      </c>
      <c r="G197">
        <v>6171</v>
      </c>
    </row>
    <row r="198" spans="1:7" x14ac:dyDescent="0.35">
      <c r="A198" t="s">
        <v>4</v>
      </c>
      <c r="B198" t="s">
        <v>204</v>
      </c>
      <c r="C198" t="s">
        <v>6</v>
      </c>
      <c r="D198">
        <v>3695</v>
      </c>
      <c r="F198" s="4" t="s">
        <v>33</v>
      </c>
      <c r="G198">
        <v>6178</v>
      </c>
    </row>
    <row r="199" spans="1:7" x14ac:dyDescent="0.35">
      <c r="A199" t="s">
        <v>4</v>
      </c>
      <c r="B199" t="s">
        <v>205</v>
      </c>
      <c r="C199" t="s">
        <v>8</v>
      </c>
      <c r="D199">
        <v>3635</v>
      </c>
      <c r="F199" s="4" t="s">
        <v>32</v>
      </c>
      <c r="G199">
        <v>6187</v>
      </c>
    </row>
    <row r="200" spans="1:7" x14ac:dyDescent="0.35">
      <c r="A200" t="s">
        <v>4</v>
      </c>
      <c r="B200" t="s">
        <v>206</v>
      </c>
      <c r="C200" t="s">
        <v>6</v>
      </c>
      <c r="D200">
        <v>3530</v>
      </c>
      <c r="F200" s="4" t="s">
        <v>28</v>
      </c>
      <c r="G200">
        <v>6212</v>
      </c>
    </row>
    <row r="201" spans="1:7" x14ac:dyDescent="0.35">
      <c r="A201" t="s">
        <v>4</v>
      </c>
      <c r="B201" t="s">
        <v>207</v>
      </c>
      <c r="C201" t="s">
        <v>6</v>
      </c>
      <c r="D201">
        <v>3375</v>
      </c>
      <c r="F201" s="4" t="s">
        <v>36</v>
      </c>
      <c r="G201">
        <v>6249</v>
      </c>
    </row>
    <row r="202" spans="1:7" x14ac:dyDescent="0.35">
      <c r="A202" t="s">
        <v>208</v>
      </c>
      <c r="B202" t="s">
        <v>182</v>
      </c>
      <c r="C202" t="s">
        <v>8</v>
      </c>
      <c r="D202">
        <v>547</v>
      </c>
      <c r="F202" s="4" t="s">
        <v>27</v>
      </c>
      <c r="G202">
        <v>6290</v>
      </c>
    </row>
    <row r="203" spans="1:7" x14ac:dyDescent="0.35">
      <c r="A203" t="s">
        <v>208</v>
      </c>
      <c r="B203" t="s">
        <v>136</v>
      </c>
      <c r="C203" t="s">
        <v>8</v>
      </c>
      <c r="D203">
        <v>460</v>
      </c>
      <c r="F203" s="4" t="s">
        <v>30</v>
      </c>
      <c r="G203">
        <v>6291</v>
      </c>
    </row>
    <row r="204" spans="1:7" x14ac:dyDescent="0.35">
      <c r="A204" t="s">
        <v>208</v>
      </c>
      <c r="B204" t="s">
        <v>12</v>
      </c>
      <c r="C204" t="s">
        <v>6</v>
      </c>
      <c r="D204">
        <v>411</v>
      </c>
      <c r="F204" s="4" t="s">
        <v>26</v>
      </c>
      <c r="G204">
        <v>6299</v>
      </c>
    </row>
    <row r="205" spans="1:7" x14ac:dyDescent="0.35">
      <c r="A205" t="s">
        <v>208</v>
      </c>
      <c r="B205" t="s">
        <v>181</v>
      </c>
      <c r="C205" t="s">
        <v>8</v>
      </c>
      <c r="D205">
        <v>403</v>
      </c>
      <c r="F205" s="4" t="s">
        <v>23</v>
      </c>
      <c r="G205">
        <v>6309</v>
      </c>
    </row>
    <row r="206" spans="1:7" x14ac:dyDescent="0.35">
      <c r="A206" t="s">
        <v>208</v>
      </c>
      <c r="B206" t="s">
        <v>194</v>
      </c>
      <c r="C206" t="s">
        <v>11</v>
      </c>
      <c r="D206">
        <v>340</v>
      </c>
      <c r="F206" s="4" t="s">
        <v>24</v>
      </c>
      <c r="G206">
        <v>6333</v>
      </c>
    </row>
    <row r="207" spans="1:7" x14ac:dyDescent="0.35">
      <c r="A207" t="s">
        <v>208</v>
      </c>
      <c r="B207" t="s">
        <v>140</v>
      </c>
      <c r="C207" t="s">
        <v>6</v>
      </c>
      <c r="D207">
        <v>335</v>
      </c>
      <c r="F207" s="4" t="s">
        <v>25</v>
      </c>
      <c r="G207">
        <v>6432</v>
      </c>
    </row>
    <row r="208" spans="1:7" x14ac:dyDescent="0.35">
      <c r="A208" t="s">
        <v>208</v>
      </c>
      <c r="B208" t="s">
        <v>179</v>
      </c>
      <c r="C208" t="s">
        <v>11</v>
      </c>
      <c r="D208">
        <v>333</v>
      </c>
      <c r="F208" s="4" t="s">
        <v>21</v>
      </c>
      <c r="G208">
        <v>6527</v>
      </c>
    </row>
    <row r="209" spans="1:7" x14ac:dyDescent="0.35">
      <c r="A209" t="s">
        <v>208</v>
      </c>
      <c r="B209" t="s">
        <v>203</v>
      </c>
      <c r="C209" t="s">
        <v>8</v>
      </c>
      <c r="D209">
        <v>325</v>
      </c>
      <c r="F209" s="4" t="s">
        <v>22</v>
      </c>
      <c r="G209">
        <v>6528</v>
      </c>
    </row>
    <row r="210" spans="1:7" x14ac:dyDescent="0.35">
      <c r="A210" t="s">
        <v>208</v>
      </c>
      <c r="B210" t="s">
        <v>165</v>
      </c>
      <c r="C210" t="s">
        <v>11</v>
      </c>
      <c r="D210">
        <v>324</v>
      </c>
      <c r="F210" s="4" t="s">
        <v>20</v>
      </c>
      <c r="G210">
        <v>6533</v>
      </c>
    </row>
    <row r="211" spans="1:7" x14ac:dyDescent="0.35">
      <c r="A211" t="s">
        <v>208</v>
      </c>
      <c r="B211" t="s">
        <v>168</v>
      </c>
      <c r="C211" t="s">
        <v>6</v>
      </c>
      <c r="D211">
        <v>317</v>
      </c>
      <c r="F211" s="4" t="s">
        <v>19</v>
      </c>
      <c r="G211">
        <v>6566</v>
      </c>
    </row>
    <row r="212" spans="1:7" x14ac:dyDescent="0.35">
      <c r="A212" t="s">
        <v>208</v>
      </c>
      <c r="B212" t="s">
        <v>130</v>
      </c>
      <c r="C212" t="s">
        <v>11</v>
      </c>
      <c r="D212">
        <v>308</v>
      </c>
      <c r="F212" s="4" t="s">
        <v>18</v>
      </c>
      <c r="G212">
        <v>6582</v>
      </c>
    </row>
    <row r="213" spans="1:7" x14ac:dyDescent="0.35">
      <c r="A213" t="s">
        <v>208</v>
      </c>
      <c r="B213" t="s">
        <v>47</v>
      </c>
      <c r="C213" t="s">
        <v>6</v>
      </c>
      <c r="D213">
        <v>308</v>
      </c>
      <c r="F213" s="4" t="s">
        <v>17</v>
      </c>
      <c r="G213">
        <v>6604</v>
      </c>
    </row>
    <row r="214" spans="1:7" x14ac:dyDescent="0.35">
      <c r="A214" t="s">
        <v>208</v>
      </c>
      <c r="B214" t="s">
        <v>200</v>
      </c>
      <c r="C214" t="s">
        <v>6</v>
      </c>
      <c r="D214">
        <v>306</v>
      </c>
      <c r="F214" s="4" t="s">
        <v>15</v>
      </c>
      <c r="G214">
        <v>6649</v>
      </c>
    </row>
    <row r="215" spans="1:7" x14ac:dyDescent="0.35">
      <c r="A215" t="s">
        <v>208</v>
      </c>
      <c r="B215" t="s">
        <v>36</v>
      </c>
      <c r="C215" t="s">
        <v>11</v>
      </c>
      <c r="D215">
        <v>303</v>
      </c>
      <c r="F215" s="4" t="s">
        <v>14</v>
      </c>
      <c r="G215">
        <v>6651</v>
      </c>
    </row>
    <row r="216" spans="1:7" x14ac:dyDescent="0.35">
      <c r="A216" t="s">
        <v>208</v>
      </c>
      <c r="B216" t="s">
        <v>30</v>
      </c>
      <c r="C216" t="s">
        <v>11</v>
      </c>
      <c r="D216">
        <v>296</v>
      </c>
      <c r="F216" s="4" t="s">
        <v>16</v>
      </c>
      <c r="G216">
        <v>6804</v>
      </c>
    </row>
    <row r="217" spans="1:7" x14ac:dyDescent="0.35">
      <c r="A217" t="s">
        <v>208</v>
      </c>
      <c r="B217" t="s">
        <v>48</v>
      </c>
      <c r="C217" t="s">
        <v>6</v>
      </c>
      <c r="D217">
        <v>284</v>
      </c>
      <c r="F217" s="4" t="s">
        <v>13</v>
      </c>
      <c r="G217">
        <v>6818</v>
      </c>
    </row>
    <row r="218" spans="1:7" x14ac:dyDescent="0.35">
      <c r="A218" t="s">
        <v>208</v>
      </c>
      <c r="B218" t="s">
        <v>79</v>
      </c>
      <c r="C218" t="s">
        <v>11</v>
      </c>
      <c r="D218">
        <v>283</v>
      </c>
      <c r="F218" s="4" t="s">
        <v>10</v>
      </c>
      <c r="G218">
        <v>7034</v>
      </c>
    </row>
    <row r="219" spans="1:7" x14ac:dyDescent="0.35">
      <c r="A219" t="s">
        <v>208</v>
      </c>
      <c r="B219" t="s">
        <v>60</v>
      </c>
      <c r="C219" t="s">
        <v>8</v>
      </c>
      <c r="D219">
        <v>274</v>
      </c>
      <c r="F219" s="4" t="s">
        <v>7</v>
      </c>
      <c r="G219">
        <v>7087</v>
      </c>
    </row>
    <row r="220" spans="1:7" x14ac:dyDescent="0.35">
      <c r="A220" t="s">
        <v>208</v>
      </c>
      <c r="B220" t="s">
        <v>82</v>
      </c>
      <c r="C220" t="s">
        <v>8</v>
      </c>
      <c r="D220">
        <v>272</v>
      </c>
      <c r="F220" s="4" t="s">
        <v>9</v>
      </c>
      <c r="G220">
        <v>7105</v>
      </c>
    </row>
    <row r="221" spans="1:7" x14ac:dyDescent="0.35">
      <c r="A221" t="s">
        <v>208</v>
      </c>
      <c r="B221" t="s">
        <v>50</v>
      </c>
      <c r="C221" t="s">
        <v>6</v>
      </c>
      <c r="D221">
        <v>269</v>
      </c>
      <c r="F221" s="4" t="s">
        <v>12</v>
      </c>
      <c r="G221">
        <v>7214</v>
      </c>
    </row>
    <row r="222" spans="1:7" x14ac:dyDescent="0.35">
      <c r="A222" t="s">
        <v>208</v>
      </c>
      <c r="B222" t="s">
        <v>83</v>
      </c>
      <c r="C222" t="s">
        <v>11</v>
      </c>
      <c r="D222">
        <v>249</v>
      </c>
      <c r="F222" s="4" t="s">
        <v>5</v>
      </c>
      <c r="G222">
        <v>7250</v>
      </c>
    </row>
    <row r="223" spans="1:7" x14ac:dyDescent="0.35">
      <c r="A223" t="s">
        <v>208</v>
      </c>
      <c r="B223" t="s">
        <v>85</v>
      </c>
      <c r="C223" t="s">
        <v>8</v>
      </c>
      <c r="D223">
        <v>238</v>
      </c>
      <c r="F223" s="4" t="s">
        <v>215</v>
      </c>
      <c r="G223">
        <v>1056109</v>
      </c>
    </row>
    <row r="224" spans="1:7" x14ac:dyDescent="0.35">
      <c r="A224" t="s">
        <v>208</v>
      </c>
      <c r="B224" t="s">
        <v>138</v>
      </c>
      <c r="C224" t="s">
        <v>8</v>
      </c>
      <c r="D224">
        <v>233</v>
      </c>
    </row>
    <row r="225" spans="1:4" x14ac:dyDescent="0.35">
      <c r="A225" t="s">
        <v>208</v>
      </c>
      <c r="B225" t="s">
        <v>176</v>
      </c>
      <c r="C225" t="s">
        <v>6</v>
      </c>
      <c r="D225">
        <v>231</v>
      </c>
    </row>
    <row r="226" spans="1:4" x14ac:dyDescent="0.35">
      <c r="A226" t="s">
        <v>208</v>
      </c>
      <c r="B226" t="s">
        <v>92</v>
      </c>
      <c r="C226" t="s">
        <v>11</v>
      </c>
      <c r="D226">
        <v>230</v>
      </c>
    </row>
    <row r="227" spans="1:4" x14ac:dyDescent="0.35">
      <c r="A227" t="s">
        <v>208</v>
      </c>
      <c r="B227" t="s">
        <v>162</v>
      </c>
      <c r="C227" t="s">
        <v>8</v>
      </c>
      <c r="D227">
        <v>229</v>
      </c>
    </row>
    <row r="228" spans="1:4" x14ac:dyDescent="0.35">
      <c r="A228" t="s">
        <v>208</v>
      </c>
      <c r="B228" t="s">
        <v>64</v>
      </c>
      <c r="C228" t="s">
        <v>11</v>
      </c>
      <c r="D228">
        <v>224</v>
      </c>
    </row>
    <row r="229" spans="1:4" x14ac:dyDescent="0.35">
      <c r="A229" t="s">
        <v>208</v>
      </c>
      <c r="B229" t="s">
        <v>52</v>
      </c>
      <c r="C229" t="s">
        <v>11</v>
      </c>
      <c r="D229">
        <v>224</v>
      </c>
    </row>
    <row r="230" spans="1:4" x14ac:dyDescent="0.35">
      <c r="A230" t="s">
        <v>208</v>
      </c>
      <c r="B230" t="s">
        <v>41</v>
      </c>
      <c r="C230" t="s">
        <v>11</v>
      </c>
      <c r="D230">
        <v>224</v>
      </c>
    </row>
    <row r="231" spans="1:4" x14ac:dyDescent="0.35">
      <c r="A231" t="s">
        <v>208</v>
      </c>
      <c r="B231" t="s">
        <v>129</v>
      </c>
      <c r="C231" t="s">
        <v>8</v>
      </c>
      <c r="D231">
        <v>222</v>
      </c>
    </row>
    <row r="232" spans="1:4" x14ac:dyDescent="0.35">
      <c r="A232" t="s">
        <v>208</v>
      </c>
      <c r="B232" t="s">
        <v>174</v>
      </c>
      <c r="C232" t="s">
        <v>6</v>
      </c>
      <c r="D232">
        <v>220</v>
      </c>
    </row>
    <row r="233" spans="1:4" x14ac:dyDescent="0.35">
      <c r="A233" t="s">
        <v>208</v>
      </c>
      <c r="B233" t="s">
        <v>104</v>
      </c>
      <c r="C233" t="s">
        <v>6</v>
      </c>
      <c r="D233">
        <v>219</v>
      </c>
    </row>
    <row r="234" spans="1:4" x14ac:dyDescent="0.35">
      <c r="A234" t="s">
        <v>208</v>
      </c>
      <c r="B234" t="s">
        <v>191</v>
      </c>
      <c r="C234" t="s">
        <v>8</v>
      </c>
      <c r="D234">
        <v>217</v>
      </c>
    </row>
    <row r="235" spans="1:4" x14ac:dyDescent="0.35">
      <c r="A235" t="s">
        <v>208</v>
      </c>
      <c r="B235" t="s">
        <v>46</v>
      </c>
      <c r="C235" t="s">
        <v>11</v>
      </c>
      <c r="D235">
        <v>215</v>
      </c>
    </row>
    <row r="236" spans="1:4" x14ac:dyDescent="0.35">
      <c r="A236" t="s">
        <v>208</v>
      </c>
      <c r="B236" t="s">
        <v>142</v>
      </c>
      <c r="C236" t="s">
        <v>11</v>
      </c>
      <c r="D236">
        <v>212</v>
      </c>
    </row>
    <row r="237" spans="1:4" x14ac:dyDescent="0.35">
      <c r="A237" t="s">
        <v>208</v>
      </c>
      <c r="B237" t="s">
        <v>32</v>
      </c>
      <c r="C237" t="s">
        <v>8</v>
      </c>
      <c r="D237">
        <v>211</v>
      </c>
    </row>
    <row r="238" spans="1:4" x14ac:dyDescent="0.35">
      <c r="A238" t="s">
        <v>208</v>
      </c>
      <c r="B238" t="s">
        <v>122</v>
      </c>
      <c r="C238" t="s">
        <v>11</v>
      </c>
      <c r="D238">
        <v>209</v>
      </c>
    </row>
    <row r="239" spans="1:4" x14ac:dyDescent="0.35">
      <c r="A239" t="s">
        <v>208</v>
      </c>
      <c r="B239" t="s">
        <v>110</v>
      </c>
      <c r="C239" t="s">
        <v>8</v>
      </c>
      <c r="D239">
        <v>206</v>
      </c>
    </row>
    <row r="240" spans="1:4" x14ac:dyDescent="0.35">
      <c r="A240" t="s">
        <v>208</v>
      </c>
      <c r="B240" t="s">
        <v>33</v>
      </c>
      <c r="C240" t="s">
        <v>6</v>
      </c>
      <c r="D240">
        <v>206</v>
      </c>
    </row>
    <row r="241" spans="1:4" x14ac:dyDescent="0.35">
      <c r="A241" t="s">
        <v>208</v>
      </c>
      <c r="B241" t="s">
        <v>192</v>
      </c>
      <c r="C241" t="s">
        <v>6</v>
      </c>
      <c r="D241">
        <v>206</v>
      </c>
    </row>
    <row r="242" spans="1:4" x14ac:dyDescent="0.35">
      <c r="A242" t="s">
        <v>208</v>
      </c>
      <c r="B242" t="s">
        <v>198</v>
      </c>
      <c r="C242" t="s">
        <v>11</v>
      </c>
      <c r="D242">
        <v>205</v>
      </c>
    </row>
    <row r="243" spans="1:4" x14ac:dyDescent="0.35">
      <c r="A243" t="s">
        <v>208</v>
      </c>
      <c r="B243" t="s">
        <v>56</v>
      </c>
      <c r="C243" t="s">
        <v>6</v>
      </c>
      <c r="D243">
        <v>202</v>
      </c>
    </row>
    <row r="244" spans="1:4" x14ac:dyDescent="0.35">
      <c r="A244" t="s">
        <v>208</v>
      </c>
      <c r="B244" t="s">
        <v>137</v>
      </c>
      <c r="C244" t="s">
        <v>8</v>
      </c>
      <c r="D244">
        <v>201</v>
      </c>
    </row>
    <row r="245" spans="1:4" x14ac:dyDescent="0.35">
      <c r="A245" t="s">
        <v>208</v>
      </c>
      <c r="B245" t="s">
        <v>119</v>
      </c>
      <c r="C245" t="s">
        <v>11</v>
      </c>
      <c r="D245">
        <v>201</v>
      </c>
    </row>
    <row r="246" spans="1:4" x14ac:dyDescent="0.35">
      <c r="A246" t="s">
        <v>208</v>
      </c>
      <c r="B246" t="s">
        <v>184</v>
      </c>
      <c r="C246" t="s">
        <v>6</v>
      </c>
      <c r="D246">
        <v>198</v>
      </c>
    </row>
    <row r="247" spans="1:4" x14ac:dyDescent="0.35">
      <c r="A247" t="s">
        <v>208</v>
      </c>
      <c r="B247" t="s">
        <v>80</v>
      </c>
      <c r="C247" t="s">
        <v>11</v>
      </c>
      <c r="D247">
        <v>193</v>
      </c>
    </row>
    <row r="248" spans="1:4" x14ac:dyDescent="0.35">
      <c r="A248" t="s">
        <v>208</v>
      </c>
      <c r="B248" t="s">
        <v>65</v>
      </c>
      <c r="C248" t="s">
        <v>8</v>
      </c>
      <c r="D248">
        <v>193</v>
      </c>
    </row>
    <row r="249" spans="1:4" x14ac:dyDescent="0.35">
      <c r="A249" t="s">
        <v>208</v>
      </c>
      <c r="B249" t="s">
        <v>37</v>
      </c>
      <c r="C249" t="s">
        <v>8</v>
      </c>
      <c r="D249">
        <v>191</v>
      </c>
    </row>
    <row r="250" spans="1:4" x14ac:dyDescent="0.35">
      <c r="A250" t="s">
        <v>208</v>
      </c>
      <c r="B250" t="s">
        <v>25</v>
      </c>
      <c r="C250" t="s">
        <v>8</v>
      </c>
      <c r="D250">
        <v>190</v>
      </c>
    </row>
    <row r="251" spans="1:4" x14ac:dyDescent="0.35">
      <c r="A251" t="s">
        <v>208</v>
      </c>
      <c r="B251" t="s">
        <v>42</v>
      </c>
      <c r="C251" t="s">
        <v>11</v>
      </c>
      <c r="D251">
        <v>182</v>
      </c>
    </row>
    <row r="252" spans="1:4" x14ac:dyDescent="0.35">
      <c r="A252" t="s">
        <v>208</v>
      </c>
      <c r="B252" t="s">
        <v>59</v>
      </c>
      <c r="C252" t="s">
        <v>11</v>
      </c>
      <c r="D252">
        <v>181</v>
      </c>
    </row>
    <row r="253" spans="1:4" x14ac:dyDescent="0.35">
      <c r="A253" t="s">
        <v>208</v>
      </c>
      <c r="B253" t="s">
        <v>34</v>
      </c>
      <c r="C253" t="s">
        <v>8</v>
      </c>
      <c r="D253">
        <v>173</v>
      </c>
    </row>
    <row r="254" spans="1:4" x14ac:dyDescent="0.35">
      <c r="A254" t="s">
        <v>208</v>
      </c>
      <c r="B254" t="s">
        <v>125</v>
      </c>
      <c r="C254" t="s">
        <v>8</v>
      </c>
      <c r="D254">
        <v>172</v>
      </c>
    </row>
    <row r="255" spans="1:4" x14ac:dyDescent="0.35">
      <c r="A255" t="s">
        <v>208</v>
      </c>
      <c r="B255" t="s">
        <v>16</v>
      </c>
      <c r="C255" t="s">
        <v>6</v>
      </c>
      <c r="D255">
        <v>171</v>
      </c>
    </row>
    <row r="256" spans="1:4" x14ac:dyDescent="0.35">
      <c r="A256" t="s">
        <v>208</v>
      </c>
      <c r="B256" t="s">
        <v>171</v>
      </c>
      <c r="C256" t="s">
        <v>6</v>
      </c>
      <c r="D256">
        <v>170</v>
      </c>
    </row>
    <row r="257" spans="1:4" x14ac:dyDescent="0.35">
      <c r="A257" t="s">
        <v>208</v>
      </c>
      <c r="B257" t="s">
        <v>101</v>
      </c>
      <c r="C257" t="s">
        <v>6</v>
      </c>
      <c r="D257">
        <v>157</v>
      </c>
    </row>
    <row r="258" spans="1:4" x14ac:dyDescent="0.35">
      <c r="A258" t="s">
        <v>208</v>
      </c>
      <c r="B258" t="s">
        <v>100</v>
      </c>
      <c r="C258" t="s">
        <v>8</v>
      </c>
      <c r="D258">
        <v>156</v>
      </c>
    </row>
    <row r="259" spans="1:4" x14ac:dyDescent="0.35">
      <c r="A259" t="s">
        <v>208</v>
      </c>
      <c r="B259" t="s">
        <v>153</v>
      </c>
      <c r="C259" t="s">
        <v>8</v>
      </c>
      <c r="D259">
        <v>149</v>
      </c>
    </row>
    <row r="260" spans="1:4" x14ac:dyDescent="0.35">
      <c r="A260" t="s">
        <v>208</v>
      </c>
      <c r="B260" t="s">
        <v>22</v>
      </c>
      <c r="C260" t="s">
        <v>8</v>
      </c>
      <c r="D260">
        <v>145</v>
      </c>
    </row>
    <row r="261" spans="1:4" x14ac:dyDescent="0.35">
      <c r="A261" t="s">
        <v>208</v>
      </c>
      <c r="B261" t="s">
        <v>146</v>
      </c>
      <c r="C261" t="s">
        <v>11</v>
      </c>
      <c r="D261">
        <v>142</v>
      </c>
    </row>
    <row r="262" spans="1:4" x14ac:dyDescent="0.35">
      <c r="A262" t="s">
        <v>208</v>
      </c>
      <c r="B262" t="s">
        <v>63</v>
      </c>
      <c r="C262" t="s">
        <v>8</v>
      </c>
      <c r="D262">
        <v>130</v>
      </c>
    </row>
    <row r="263" spans="1:4" ht="16.5" x14ac:dyDescent="0.45">
      <c r="A263" s="1" t="s">
        <v>211</v>
      </c>
      <c r="B263" t="s">
        <v>77</v>
      </c>
      <c r="C263" t="s">
        <v>6</v>
      </c>
      <c r="D263">
        <v>130</v>
      </c>
    </row>
    <row r="264" spans="1:4" x14ac:dyDescent="0.35">
      <c r="A264" t="s">
        <v>208</v>
      </c>
      <c r="B264" t="s">
        <v>109</v>
      </c>
      <c r="C264" t="s">
        <v>8</v>
      </c>
      <c r="D264">
        <v>126</v>
      </c>
    </row>
    <row r="265" spans="1:4" x14ac:dyDescent="0.35">
      <c r="A265" t="s">
        <v>208</v>
      </c>
      <c r="B265" t="s">
        <v>141</v>
      </c>
      <c r="C265" t="s">
        <v>8</v>
      </c>
      <c r="D265">
        <v>125</v>
      </c>
    </row>
    <row r="266" spans="1:4" x14ac:dyDescent="0.35">
      <c r="A266" t="s">
        <v>208</v>
      </c>
      <c r="B266" t="s">
        <v>145</v>
      </c>
      <c r="C266" t="s">
        <v>6</v>
      </c>
      <c r="D266">
        <v>124</v>
      </c>
    </row>
    <row r="267" spans="1:4" x14ac:dyDescent="0.35">
      <c r="A267" t="s">
        <v>208</v>
      </c>
      <c r="B267" t="s">
        <v>94</v>
      </c>
      <c r="C267" t="s">
        <v>11</v>
      </c>
      <c r="D267">
        <v>123</v>
      </c>
    </row>
    <row r="268" spans="1:4" x14ac:dyDescent="0.35">
      <c r="A268" t="s">
        <v>208</v>
      </c>
      <c r="B268" t="s">
        <v>68</v>
      </c>
      <c r="C268" t="s">
        <v>6</v>
      </c>
      <c r="D268">
        <v>123</v>
      </c>
    </row>
    <row r="269" spans="1:4" x14ac:dyDescent="0.35">
      <c r="A269" t="s">
        <v>208</v>
      </c>
      <c r="B269" t="s">
        <v>127</v>
      </c>
      <c r="C269" t="s">
        <v>11</v>
      </c>
      <c r="D269">
        <v>122</v>
      </c>
    </row>
    <row r="270" spans="1:4" x14ac:dyDescent="0.35">
      <c r="A270" t="s">
        <v>208</v>
      </c>
      <c r="B270" t="s">
        <v>160</v>
      </c>
      <c r="C270" t="s">
        <v>11</v>
      </c>
      <c r="D270">
        <v>122</v>
      </c>
    </row>
    <row r="271" spans="1:4" x14ac:dyDescent="0.35">
      <c r="A271" t="s">
        <v>208</v>
      </c>
      <c r="B271" t="s">
        <v>108</v>
      </c>
      <c r="C271" t="s">
        <v>11</v>
      </c>
      <c r="D271">
        <v>122</v>
      </c>
    </row>
    <row r="272" spans="1:4" x14ac:dyDescent="0.35">
      <c r="A272" t="s">
        <v>208</v>
      </c>
      <c r="B272" t="s">
        <v>163</v>
      </c>
      <c r="C272" t="s">
        <v>11</v>
      </c>
      <c r="D272">
        <v>120</v>
      </c>
    </row>
    <row r="273" spans="1:4" x14ac:dyDescent="0.35">
      <c r="A273" t="s">
        <v>208</v>
      </c>
      <c r="B273" t="s">
        <v>40</v>
      </c>
      <c r="C273" t="s">
        <v>8</v>
      </c>
      <c r="D273">
        <v>116</v>
      </c>
    </row>
    <row r="274" spans="1:4" x14ac:dyDescent="0.35">
      <c r="A274" t="s">
        <v>208</v>
      </c>
      <c r="B274" t="s">
        <v>167</v>
      </c>
      <c r="C274" t="s">
        <v>6</v>
      </c>
      <c r="D274">
        <v>113</v>
      </c>
    </row>
    <row r="275" spans="1:4" x14ac:dyDescent="0.35">
      <c r="A275" t="s">
        <v>208</v>
      </c>
      <c r="B275" t="s">
        <v>196</v>
      </c>
      <c r="C275" t="s">
        <v>11</v>
      </c>
      <c r="D275">
        <v>112</v>
      </c>
    </row>
    <row r="276" spans="1:4" x14ac:dyDescent="0.35">
      <c r="A276" t="s">
        <v>208</v>
      </c>
      <c r="B276" t="s">
        <v>143</v>
      </c>
      <c r="C276" t="s">
        <v>8</v>
      </c>
      <c r="D276">
        <v>111</v>
      </c>
    </row>
    <row r="277" spans="1:4" x14ac:dyDescent="0.35">
      <c r="A277" t="s">
        <v>208</v>
      </c>
      <c r="B277" t="s">
        <v>95</v>
      </c>
      <c r="C277" t="s">
        <v>11</v>
      </c>
      <c r="D277">
        <v>111</v>
      </c>
    </row>
    <row r="278" spans="1:4" x14ac:dyDescent="0.35">
      <c r="A278" t="s">
        <v>208</v>
      </c>
      <c r="B278" t="s">
        <v>180</v>
      </c>
      <c r="C278" t="s">
        <v>6</v>
      </c>
      <c r="D278">
        <v>111</v>
      </c>
    </row>
    <row r="279" spans="1:4" x14ac:dyDescent="0.35">
      <c r="A279" t="s">
        <v>208</v>
      </c>
      <c r="B279" t="s">
        <v>197</v>
      </c>
      <c r="C279" t="s">
        <v>6</v>
      </c>
      <c r="D279">
        <v>110</v>
      </c>
    </row>
    <row r="280" spans="1:4" x14ac:dyDescent="0.35">
      <c r="A280" t="s">
        <v>208</v>
      </c>
      <c r="B280" t="s">
        <v>154</v>
      </c>
      <c r="C280" t="s">
        <v>11</v>
      </c>
      <c r="D280">
        <v>108</v>
      </c>
    </row>
    <row r="281" spans="1:4" x14ac:dyDescent="0.35">
      <c r="A281" t="s">
        <v>208</v>
      </c>
      <c r="B281" t="s">
        <v>28</v>
      </c>
      <c r="C281" t="s">
        <v>11</v>
      </c>
      <c r="D281">
        <v>108</v>
      </c>
    </row>
    <row r="282" spans="1:4" x14ac:dyDescent="0.35">
      <c r="A282" t="s">
        <v>208</v>
      </c>
      <c r="B282" t="s">
        <v>61</v>
      </c>
      <c r="C282" t="s">
        <v>6</v>
      </c>
      <c r="D282">
        <v>106</v>
      </c>
    </row>
    <row r="283" spans="1:4" x14ac:dyDescent="0.35">
      <c r="A283" t="s">
        <v>208</v>
      </c>
      <c r="B283" t="s">
        <v>78</v>
      </c>
      <c r="C283" t="s">
        <v>6</v>
      </c>
      <c r="D283">
        <v>106</v>
      </c>
    </row>
    <row r="284" spans="1:4" x14ac:dyDescent="0.35">
      <c r="A284" t="s">
        <v>208</v>
      </c>
      <c r="B284" t="s">
        <v>44</v>
      </c>
      <c r="C284" t="s">
        <v>8</v>
      </c>
      <c r="D284">
        <v>105</v>
      </c>
    </row>
    <row r="285" spans="1:4" x14ac:dyDescent="0.35">
      <c r="A285" t="s">
        <v>208</v>
      </c>
      <c r="B285" t="s">
        <v>39</v>
      </c>
      <c r="C285" t="s">
        <v>11</v>
      </c>
      <c r="D285">
        <v>104</v>
      </c>
    </row>
    <row r="286" spans="1:4" x14ac:dyDescent="0.35">
      <c r="A286" t="s">
        <v>208</v>
      </c>
      <c r="B286" t="s">
        <v>148</v>
      </c>
      <c r="C286" t="s">
        <v>8</v>
      </c>
      <c r="D286">
        <v>103</v>
      </c>
    </row>
    <row r="287" spans="1:4" x14ac:dyDescent="0.35">
      <c r="A287" t="s">
        <v>208</v>
      </c>
      <c r="B287" t="s">
        <v>134</v>
      </c>
      <c r="C287" t="s">
        <v>8</v>
      </c>
      <c r="D287">
        <v>101</v>
      </c>
    </row>
    <row r="288" spans="1:4" x14ac:dyDescent="0.35">
      <c r="A288" t="s">
        <v>208</v>
      </c>
      <c r="B288" t="s">
        <v>112</v>
      </c>
      <c r="C288" t="s">
        <v>11</v>
      </c>
      <c r="D288">
        <v>101</v>
      </c>
    </row>
    <row r="289" spans="1:4" x14ac:dyDescent="0.35">
      <c r="A289" t="s">
        <v>208</v>
      </c>
      <c r="B289" t="s">
        <v>118</v>
      </c>
      <c r="C289" t="s">
        <v>6</v>
      </c>
      <c r="D289">
        <v>100</v>
      </c>
    </row>
    <row r="290" spans="1:4" x14ac:dyDescent="0.35">
      <c r="A290" t="s">
        <v>208</v>
      </c>
      <c r="B290" t="s">
        <v>26</v>
      </c>
      <c r="C290" t="s">
        <v>8</v>
      </c>
      <c r="D290">
        <v>99</v>
      </c>
    </row>
    <row r="291" spans="1:4" x14ac:dyDescent="0.35">
      <c r="A291" t="s">
        <v>208</v>
      </c>
      <c r="B291" t="s">
        <v>206</v>
      </c>
      <c r="C291" t="s">
        <v>6</v>
      </c>
      <c r="D291">
        <v>98</v>
      </c>
    </row>
    <row r="292" spans="1:4" x14ac:dyDescent="0.35">
      <c r="A292" t="s">
        <v>208</v>
      </c>
      <c r="B292" t="s">
        <v>29</v>
      </c>
      <c r="C292" t="s">
        <v>6</v>
      </c>
      <c r="D292">
        <v>98</v>
      </c>
    </row>
    <row r="293" spans="1:4" x14ac:dyDescent="0.35">
      <c r="A293" t="s">
        <v>208</v>
      </c>
      <c r="B293" t="s">
        <v>53</v>
      </c>
      <c r="C293" t="s">
        <v>8</v>
      </c>
      <c r="D293">
        <v>98</v>
      </c>
    </row>
    <row r="294" spans="1:4" x14ac:dyDescent="0.35">
      <c r="A294" t="s">
        <v>208</v>
      </c>
      <c r="B294" t="s">
        <v>75</v>
      </c>
      <c r="C294" t="s">
        <v>8</v>
      </c>
      <c r="D294">
        <v>98</v>
      </c>
    </row>
    <row r="295" spans="1:4" x14ac:dyDescent="0.35">
      <c r="A295" t="s">
        <v>208</v>
      </c>
      <c r="B295" t="s">
        <v>57</v>
      </c>
      <c r="C295" t="s">
        <v>8</v>
      </c>
      <c r="D295">
        <v>97</v>
      </c>
    </row>
    <row r="296" spans="1:4" x14ac:dyDescent="0.35">
      <c r="A296" t="s">
        <v>208</v>
      </c>
      <c r="B296" t="s">
        <v>187</v>
      </c>
      <c r="C296" t="s">
        <v>8</v>
      </c>
      <c r="D296">
        <v>97</v>
      </c>
    </row>
    <row r="297" spans="1:4" x14ac:dyDescent="0.35">
      <c r="A297" t="s">
        <v>208</v>
      </c>
      <c r="B297" t="s">
        <v>67</v>
      </c>
      <c r="C297" t="s">
        <v>8</v>
      </c>
      <c r="D297">
        <v>96</v>
      </c>
    </row>
    <row r="298" spans="1:4" x14ac:dyDescent="0.35">
      <c r="A298" t="s">
        <v>208</v>
      </c>
      <c r="B298" t="s">
        <v>111</v>
      </c>
      <c r="C298" t="s">
        <v>8</v>
      </c>
      <c r="D298">
        <v>95</v>
      </c>
    </row>
    <row r="299" spans="1:4" x14ac:dyDescent="0.35">
      <c r="A299" t="s">
        <v>208</v>
      </c>
      <c r="B299" t="s">
        <v>139</v>
      </c>
      <c r="C299" t="s">
        <v>11</v>
      </c>
      <c r="D299">
        <v>95</v>
      </c>
    </row>
    <row r="300" spans="1:4" x14ac:dyDescent="0.35">
      <c r="A300" t="s">
        <v>208</v>
      </c>
      <c r="B300" t="s">
        <v>21</v>
      </c>
      <c r="C300" t="s">
        <v>6</v>
      </c>
      <c r="D300">
        <v>95</v>
      </c>
    </row>
    <row r="301" spans="1:4" x14ac:dyDescent="0.35">
      <c r="A301" t="s">
        <v>208</v>
      </c>
      <c r="B301" t="s">
        <v>35</v>
      </c>
      <c r="C301" t="s">
        <v>8</v>
      </c>
      <c r="D301">
        <v>94</v>
      </c>
    </row>
    <row r="302" spans="1:4" x14ac:dyDescent="0.35">
      <c r="A302" t="s">
        <v>208</v>
      </c>
      <c r="B302" t="s">
        <v>133</v>
      </c>
      <c r="C302" t="s">
        <v>6</v>
      </c>
      <c r="D302">
        <v>94</v>
      </c>
    </row>
    <row r="303" spans="1:4" x14ac:dyDescent="0.35">
      <c r="A303" t="s">
        <v>208</v>
      </c>
      <c r="B303" t="s">
        <v>199</v>
      </c>
      <c r="C303" t="s">
        <v>11</v>
      </c>
      <c r="D303">
        <v>94</v>
      </c>
    </row>
    <row r="304" spans="1:4" x14ac:dyDescent="0.35">
      <c r="A304" t="s">
        <v>208</v>
      </c>
      <c r="B304" t="s">
        <v>114</v>
      </c>
      <c r="C304" t="s">
        <v>8</v>
      </c>
      <c r="D304">
        <v>94</v>
      </c>
    </row>
    <row r="305" spans="1:4" x14ac:dyDescent="0.35">
      <c r="A305" t="s">
        <v>208</v>
      </c>
      <c r="B305" t="s">
        <v>164</v>
      </c>
      <c r="C305" t="s">
        <v>6</v>
      </c>
      <c r="D305">
        <v>94</v>
      </c>
    </row>
    <row r="306" spans="1:4" x14ac:dyDescent="0.35">
      <c r="A306" t="s">
        <v>208</v>
      </c>
      <c r="B306" t="s">
        <v>186</v>
      </c>
      <c r="C306" t="s">
        <v>8</v>
      </c>
      <c r="D306">
        <v>94</v>
      </c>
    </row>
    <row r="307" spans="1:4" x14ac:dyDescent="0.35">
      <c r="A307" t="s">
        <v>208</v>
      </c>
      <c r="B307" t="s">
        <v>188</v>
      </c>
      <c r="C307" t="s">
        <v>6</v>
      </c>
      <c r="D307">
        <v>92</v>
      </c>
    </row>
    <row r="308" spans="1:4" x14ac:dyDescent="0.35">
      <c r="A308" t="s">
        <v>208</v>
      </c>
      <c r="B308" t="s">
        <v>27</v>
      </c>
      <c r="C308" t="s">
        <v>11</v>
      </c>
      <c r="D308">
        <v>92</v>
      </c>
    </row>
    <row r="309" spans="1:4" x14ac:dyDescent="0.35">
      <c r="A309" t="s">
        <v>208</v>
      </c>
      <c r="B309" t="s">
        <v>89</v>
      </c>
      <c r="C309" t="s">
        <v>6</v>
      </c>
      <c r="D309">
        <v>89</v>
      </c>
    </row>
    <row r="310" spans="1:4" x14ac:dyDescent="0.35">
      <c r="A310" t="s">
        <v>208</v>
      </c>
      <c r="B310" t="s">
        <v>107</v>
      </c>
      <c r="C310" t="s">
        <v>6</v>
      </c>
      <c r="D310">
        <v>87</v>
      </c>
    </row>
    <row r="311" spans="1:4" x14ac:dyDescent="0.35">
      <c r="A311" t="s">
        <v>208</v>
      </c>
      <c r="B311" t="s">
        <v>10</v>
      </c>
      <c r="C311" t="s">
        <v>11</v>
      </c>
      <c r="D311">
        <v>85</v>
      </c>
    </row>
    <row r="312" spans="1:4" x14ac:dyDescent="0.35">
      <c r="A312" t="s">
        <v>208</v>
      </c>
      <c r="B312" t="s">
        <v>49</v>
      </c>
      <c r="C312" t="s">
        <v>11</v>
      </c>
      <c r="D312">
        <v>83</v>
      </c>
    </row>
    <row r="313" spans="1:4" x14ac:dyDescent="0.35">
      <c r="A313" t="s">
        <v>208</v>
      </c>
      <c r="B313" t="s">
        <v>24</v>
      </c>
      <c r="C313" t="s">
        <v>8</v>
      </c>
      <c r="D313">
        <v>82</v>
      </c>
    </row>
    <row r="314" spans="1:4" x14ac:dyDescent="0.35">
      <c r="A314" t="s">
        <v>208</v>
      </c>
      <c r="B314" t="s">
        <v>158</v>
      </c>
      <c r="C314" t="s">
        <v>6</v>
      </c>
      <c r="D314">
        <v>82</v>
      </c>
    </row>
    <row r="315" spans="1:4" x14ac:dyDescent="0.35">
      <c r="A315" t="s">
        <v>208</v>
      </c>
      <c r="B315" t="s">
        <v>193</v>
      </c>
      <c r="C315" t="s">
        <v>11</v>
      </c>
      <c r="D315">
        <v>82</v>
      </c>
    </row>
    <row r="316" spans="1:4" x14ac:dyDescent="0.35">
      <c r="A316" t="s">
        <v>208</v>
      </c>
      <c r="B316" t="s">
        <v>62</v>
      </c>
      <c r="C316" t="s">
        <v>6</v>
      </c>
      <c r="D316">
        <v>81</v>
      </c>
    </row>
    <row r="317" spans="1:4" x14ac:dyDescent="0.35">
      <c r="A317" t="s">
        <v>208</v>
      </c>
      <c r="B317" t="s">
        <v>31</v>
      </c>
      <c r="C317" t="s">
        <v>11</v>
      </c>
      <c r="D317">
        <v>78</v>
      </c>
    </row>
    <row r="318" spans="1:4" x14ac:dyDescent="0.35">
      <c r="A318" t="s">
        <v>208</v>
      </c>
      <c r="B318" t="s">
        <v>99</v>
      </c>
      <c r="C318" t="s">
        <v>8</v>
      </c>
      <c r="D318">
        <v>75</v>
      </c>
    </row>
    <row r="319" spans="1:4" x14ac:dyDescent="0.35">
      <c r="A319" t="s">
        <v>208</v>
      </c>
      <c r="B319" t="s">
        <v>9</v>
      </c>
      <c r="C319" t="s">
        <v>8</v>
      </c>
      <c r="D319">
        <v>69</v>
      </c>
    </row>
    <row r="320" spans="1:4" x14ac:dyDescent="0.35">
      <c r="A320" t="s">
        <v>208</v>
      </c>
      <c r="B320" t="s">
        <v>13</v>
      </c>
      <c r="C320" t="s">
        <v>8</v>
      </c>
      <c r="D320">
        <v>69</v>
      </c>
    </row>
    <row r="321" spans="1:4" x14ac:dyDescent="0.35">
      <c r="A321" t="s">
        <v>208</v>
      </c>
      <c r="B321" t="s">
        <v>159</v>
      </c>
      <c r="C321" t="s">
        <v>8</v>
      </c>
      <c r="D321">
        <v>65</v>
      </c>
    </row>
  </sheetData>
  <phoneticPr fontId="1" type="noConversion"/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dcterms:modified xsi:type="dcterms:W3CDTF">2026-06-09T09:18:49Z</dcterms:modified>
</cp:coreProperties>
</file>