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pycharm\Excel\archive(12)\sql导出数据\2\"/>
    </mc:Choice>
  </mc:AlternateContent>
  <xr:revisionPtr revIDLastSave="0" documentId="13_ncr:1_{051CFE23-8BCE-4D97-86FB-D2FDA37E1D8B}" xr6:coauthVersionLast="47" xr6:coauthVersionMax="47" xr10:uidLastSave="{00000000-0000-0000-0000-000000000000}"/>
  <bookViews>
    <workbookView xWindow="4850" yWindow="2900" windowWidth="19200" windowHeight="11710" xr2:uid="{00000000-000D-0000-FFFF-FFFF00000000}"/>
  </bookViews>
  <sheets>
    <sheet name="Sheet1" sheetId="1" r:id="rId1"/>
  </sheets>
  <calcPr calcId="191029"/>
  <pivotCaches>
    <pivotCache cacheId="1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/>
  <c r="L4" i="1"/>
  <c r="K4" i="1"/>
  <c r="J4" i="1"/>
  <c r="I4" i="1"/>
  <c r="I3" i="1"/>
  <c r="L3" i="1"/>
  <c r="K3" i="1"/>
  <c r="J3" i="1"/>
  <c r="M3" i="1"/>
</calcChain>
</file>

<file path=xl/sharedStrings.xml><?xml version="1.0" encoding="utf-8"?>
<sst xmlns="http://schemas.openxmlformats.org/spreadsheetml/2006/main" count="565" uniqueCount="75">
  <si>
    <t>city</t>
  </si>
  <si>
    <t>reg_month</t>
  </si>
  <si>
    <t>high_cust_num</t>
  </si>
  <si>
    <t>avg_R</t>
  </si>
  <si>
    <t>avg_F</t>
  </si>
  <si>
    <t>avg_M</t>
  </si>
  <si>
    <t>Pune</t>
  </si>
  <si>
    <t>2019-03</t>
  </si>
  <si>
    <t>Bangalore</t>
  </si>
  <si>
    <t>2019-01</t>
  </si>
  <si>
    <t>Delhi</t>
  </si>
  <si>
    <t>2019-10</t>
  </si>
  <si>
    <t>2019-07</t>
  </si>
  <si>
    <t>2022-08</t>
  </si>
  <si>
    <t>Mumbai</t>
  </si>
  <si>
    <t>2023-10</t>
  </si>
  <si>
    <t>2020-04</t>
  </si>
  <si>
    <t>2022-07</t>
  </si>
  <si>
    <t>2022-06</t>
  </si>
  <si>
    <t>2020-07</t>
  </si>
  <si>
    <t>2022-05</t>
  </si>
  <si>
    <t>2023-12</t>
  </si>
  <si>
    <t>2020-05</t>
  </si>
  <si>
    <t>2019-11</t>
  </si>
  <si>
    <t>2019-02</t>
  </si>
  <si>
    <t>2023-05</t>
  </si>
  <si>
    <t>2021-07</t>
  </si>
  <si>
    <t>2021-04</t>
  </si>
  <si>
    <t>2023-08</t>
  </si>
  <si>
    <t>2023-01</t>
  </si>
  <si>
    <t>2022-12</t>
  </si>
  <si>
    <t>2021-06</t>
  </si>
  <si>
    <t>2022-01</t>
  </si>
  <si>
    <t>2019-08</t>
  </si>
  <si>
    <t>2023-03</t>
  </si>
  <si>
    <t>2020-12</t>
  </si>
  <si>
    <t>2023-11</t>
  </si>
  <si>
    <t>2023-04</t>
  </si>
  <si>
    <t>2023-07</t>
  </si>
  <si>
    <t>2019-05</t>
  </si>
  <si>
    <t>2022-10</t>
  </si>
  <si>
    <t>2020-10</t>
  </si>
  <si>
    <t>2019-06</t>
  </si>
  <si>
    <t>2021-05</t>
  </si>
  <si>
    <t>2020-02</t>
  </si>
  <si>
    <t>2021-12</t>
  </si>
  <si>
    <t>2021-03</t>
  </si>
  <si>
    <t>2019-09</t>
  </si>
  <si>
    <t>2020-08</t>
  </si>
  <si>
    <t>2022-09</t>
  </si>
  <si>
    <t>2021-10</t>
  </si>
  <si>
    <t>2023-06</t>
  </si>
  <si>
    <t>2020-03</t>
  </si>
  <si>
    <t>2019-12</t>
  </si>
  <si>
    <t>2020-11</t>
  </si>
  <si>
    <t>2021-01</t>
  </si>
  <si>
    <t>2022-03</t>
  </si>
  <si>
    <t>2019-04</t>
  </si>
  <si>
    <t>2021-09</t>
  </si>
  <si>
    <t>2022-04</t>
  </si>
  <si>
    <t>2021-11</t>
  </si>
  <si>
    <t>2023-09</t>
  </si>
  <si>
    <t>2020-06</t>
  </si>
  <si>
    <t>2023-02</t>
  </si>
  <si>
    <t>2020-09</t>
  </si>
  <si>
    <t>2021-08</t>
  </si>
  <si>
    <t>2022-11</t>
  </si>
  <si>
    <t>2020-01</t>
  </si>
  <si>
    <t>2021-02</t>
  </si>
  <si>
    <t>2022-02</t>
  </si>
  <si>
    <t>2024-01</t>
  </si>
  <si>
    <t>行标签</t>
  </si>
  <si>
    <t>总计</t>
  </si>
  <si>
    <t>总数量</t>
    <phoneticPr fontId="1" type="noConversion"/>
  </si>
  <si>
    <t>求和项:high_cust_num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</si>
</sst>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[年下单 大于 3 客户共性.xlsx]Sheet1!数据透视表2</c:name>
    <c:fmtId val="0"/>
  </c:pivotSource>
  <c:chart>
    <c:title>
      <c:layout>
        <c:manualLayout>
          <c:xMode val="edge"/>
          <c:yMode val="edge"/>
          <c:x val="1.5428861955731736E-3"/>
          <c:y val="0.104025583434695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Sheet1!$J$21</c:f>
              <c:strCache>
                <c:ptCount val="1"/>
                <c:pt idx="0">
                  <c:v>汇总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Sheet1!$I$22:$I$83</c:f>
              <c:strCache>
                <c:ptCount val="61"/>
                <c:pt idx="0">
                  <c:v>2024-01</c:v>
                </c:pt>
                <c:pt idx="1">
                  <c:v>2021-02</c:v>
                </c:pt>
                <c:pt idx="2">
                  <c:v>2020-06</c:v>
                </c:pt>
                <c:pt idx="3">
                  <c:v>2023-02</c:v>
                </c:pt>
                <c:pt idx="4">
                  <c:v>2022-02</c:v>
                </c:pt>
                <c:pt idx="5">
                  <c:v>2019-04</c:v>
                </c:pt>
                <c:pt idx="6">
                  <c:v>2020-02</c:v>
                </c:pt>
                <c:pt idx="7">
                  <c:v>2019-02</c:v>
                </c:pt>
                <c:pt idx="8">
                  <c:v>2022-03</c:v>
                </c:pt>
                <c:pt idx="9">
                  <c:v>2021-08</c:v>
                </c:pt>
                <c:pt idx="10">
                  <c:v>2021-11</c:v>
                </c:pt>
                <c:pt idx="11">
                  <c:v>2022-11</c:v>
                </c:pt>
                <c:pt idx="12">
                  <c:v>2020-01</c:v>
                </c:pt>
                <c:pt idx="13">
                  <c:v>2022-09</c:v>
                </c:pt>
                <c:pt idx="14">
                  <c:v>2019-06</c:v>
                </c:pt>
                <c:pt idx="15">
                  <c:v>2023-09</c:v>
                </c:pt>
                <c:pt idx="16">
                  <c:v>2023-03</c:v>
                </c:pt>
                <c:pt idx="17">
                  <c:v>2022-04</c:v>
                </c:pt>
                <c:pt idx="18">
                  <c:v>2022-01</c:v>
                </c:pt>
                <c:pt idx="19">
                  <c:v>2023-11</c:v>
                </c:pt>
                <c:pt idx="20">
                  <c:v>2021-05</c:v>
                </c:pt>
                <c:pt idx="21">
                  <c:v>2023-06</c:v>
                </c:pt>
                <c:pt idx="22">
                  <c:v>2020-09</c:v>
                </c:pt>
                <c:pt idx="23">
                  <c:v>2019-05</c:v>
                </c:pt>
                <c:pt idx="24">
                  <c:v>2019-08</c:v>
                </c:pt>
                <c:pt idx="25">
                  <c:v>2019-09</c:v>
                </c:pt>
                <c:pt idx="26">
                  <c:v>2023-04</c:v>
                </c:pt>
                <c:pt idx="27">
                  <c:v>2021-09</c:v>
                </c:pt>
                <c:pt idx="28">
                  <c:v>2021-07</c:v>
                </c:pt>
                <c:pt idx="29">
                  <c:v>2020-03</c:v>
                </c:pt>
                <c:pt idx="30">
                  <c:v>2022-07</c:v>
                </c:pt>
                <c:pt idx="31">
                  <c:v>2023-08</c:v>
                </c:pt>
                <c:pt idx="32">
                  <c:v>2021-01</c:v>
                </c:pt>
                <c:pt idx="33">
                  <c:v>2019-01</c:v>
                </c:pt>
                <c:pt idx="34">
                  <c:v>2021-10</c:v>
                </c:pt>
                <c:pt idx="35">
                  <c:v>2020-11</c:v>
                </c:pt>
                <c:pt idx="36">
                  <c:v>2020-12</c:v>
                </c:pt>
                <c:pt idx="37">
                  <c:v>2019-12</c:v>
                </c:pt>
                <c:pt idx="38">
                  <c:v>2021-04</c:v>
                </c:pt>
                <c:pt idx="39">
                  <c:v>2019-11</c:v>
                </c:pt>
                <c:pt idx="40">
                  <c:v>2023-07</c:v>
                </c:pt>
                <c:pt idx="41">
                  <c:v>2023-12</c:v>
                </c:pt>
                <c:pt idx="42">
                  <c:v>2021-03</c:v>
                </c:pt>
                <c:pt idx="43">
                  <c:v>2021-12</c:v>
                </c:pt>
                <c:pt idx="44">
                  <c:v>2020-10</c:v>
                </c:pt>
                <c:pt idx="45">
                  <c:v>2020-08</c:v>
                </c:pt>
                <c:pt idx="46">
                  <c:v>2020-05</c:v>
                </c:pt>
                <c:pt idx="47">
                  <c:v>2022-06</c:v>
                </c:pt>
                <c:pt idx="48">
                  <c:v>2020-07</c:v>
                </c:pt>
                <c:pt idx="49">
                  <c:v>2023-01</c:v>
                </c:pt>
                <c:pt idx="50">
                  <c:v>2022-12</c:v>
                </c:pt>
                <c:pt idx="51">
                  <c:v>2022-05</c:v>
                </c:pt>
                <c:pt idx="52">
                  <c:v>2022-08</c:v>
                </c:pt>
                <c:pt idx="53">
                  <c:v>2023-05</c:v>
                </c:pt>
                <c:pt idx="54">
                  <c:v>2022-10</c:v>
                </c:pt>
                <c:pt idx="55">
                  <c:v>2023-10</c:v>
                </c:pt>
                <c:pt idx="56">
                  <c:v>2021-06</c:v>
                </c:pt>
                <c:pt idx="57">
                  <c:v>2019-03</c:v>
                </c:pt>
                <c:pt idx="58">
                  <c:v>2020-04</c:v>
                </c:pt>
                <c:pt idx="59">
                  <c:v>2019-10</c:v>
                </c:pt>
                <c:pt idx="60">
                  <c:v>2019-07</c:v>
                </c:pt>
              </c:strCache>
            </c:strRef>
          </c:cat>
          <c:val>
            <c:numRef>
              <c:f>Sheet1!$J$22:$J$83</c:f>
              <c:numCache>
                <c:formatCode>General</c:formatCode>
                <c:ptCount val="61"/>
                <c:pt idx="0">
                  <c:v>16</c:v>
                </c:pt>
                <c:pt idx="1">
                  <c:v>424</c:v>
                </c:pt>
                <c:pt idx="2">
                  <c:v>426</c:v>
                </c:pt>
                <c:pt idx="3">
                  <c:v>426</c:v>
                </c:pt>
                <c:pt idx="4">
                  <c:v>427</c:v>
                </c:pt>
                <c:pt idx="5">
                  <c:v>433</c:v>
                </c:pt>
                <c:pt idx="6">
                  <c:v>440</c:v>
                </c:pt>
                <c:pt idx="7">
                  <c:v>446</c:v>
                </c:pt>
                <c:pt idx="8">
                  <c:v>447</c:v>
                </c:pt>
                <c:pt idx="9">
                  <c:v>448</c:v>
                </c:pt>
                <c:pt idx="10">
                  <c:v>449</c:v>
                </c:pt>
                <c:pt idx="11">
                  <c:v>451</c:v>
                </c:pt>
                <c:pt idx="12">
                  <c:v>452</c:v>
                </c:pt>
                <c:pt idx="13">
                  <c:v>454</c:v>
                </c:pt>
                <c:pt idx="14">
                  <c:v>454</c:v>
                </c:pt>
                <c:pt idx="15">
                  <c:v>454</c:v>
                </c:pt>
                <c:pt idx="16">
                  <c:v>454</c:v>
                </c:pt>
                <c:pt idx="17">
                  <c:v>456</c:v>
                </c:pt>
                <c:pt idx="18">
                  <c:v>459</c:v>
                </c:pt>
                <c:pt idx="19">
                  <c:v>465</c:v>
                </c:pt>
                <c:pt idx="20">
                  <c:v>465</c:v>
                </c:pt>
                <c:pt idx="21">
                  <c:v>466</c:v>
                </c:pt>
                <c:pt idx="22">
                  <c:v>466</c:v>
                </c:pt>
                <c:pt idx="23">
                  <c:v>467</c:v>
                </c:pt>
                <c:pt idx="24">
                  <c:v>467</c:v>
                </c:pt>
                <c:pt idx="25">
                  <c:v>468</c:v>
                </c:pt>
                <c:pt idx="26">
                  <c:v>473</c:v>
                </c:pt>
                <c:pt idx="27">
                  <c:v>474</c:v>
                </c:pt>
                <c:pt idx="28">
                  <c:v>475</c:v>
                </c:pt>
                <c:pt idx="29">
                  <c:v>475</c:v>
                </c:pt>
                <c:pt idx="30">
                  <c:v>476</c:v>
                </c:pt>
                <c:pt idx="31">
                  <c:v>477</c:v>
                </c:pt>
                <c:pt idx="32">
                  <c:v>477</c:v>
                </c:pt>
                <c:pt idx="33">
                  <c:v>477</c:v>
                </c:pt>
                <c:pt idx="34">
                  <c:v>478</c:v>
                </c:pt>
                <c:pt idx="35">
                  <c:v>480</c:v>
                </c:pt>
                <c:pt idx="36">
                  <c:v>480</c:v>
                </c:pt>
                <c:pt idx="37">
                  <c:v>481</c:v>
                </c:pt>
                <c:pt idx="38">
                  <c:v>481</c:v>
                </c:pt>
                <c:pt idx="39">
                  <c:v>486</c:v>
                </c:pt>
                <c:pt idx="40">
                  <c:v>489</c:v>
                </c:pt>
                <c:pt idx="41">
                  <c:v>491</c:v>
                </c:pt>
                <c:pt idx="42">
                  <c:v>491</c:v>
                </c:pt>
                <c:pt idx="43">
                  <c:v>493</c:v>
                </c:pt>
                <c:pt idx="44">
                  <c:v>495</c:v>
                </c:pt>
                <c:pt idx="45">
                  <c:v>497</c:v>
                </c:pt>
                <c:pt idx="46">
                  <c:v>497</c:v>
                </c:pt>
                <c:pt idx="47">
                  <c:v>497</c:v>
                </c:pt>
                <c:pt idx="48">
                  <c:v>499</c:v>
                </c:pt>
                <c:pt idx="49">
                  <c:v>501</c:v>
                </c:pt>
                <c:pt idx="50">
                  <c:v>502</c:v>
                </c:pt>
                <c:pt idx="51">
                  <c:v>504</c:v>
                </c:pt>
                <c:pt idx="52">
                  <c:v>505</c:v>
                </c:pt>
                <c:pt idx="53">
                  <c:v>507</c:v>
                </c:pt>
                <c:pt idx="54">
                  <c:v>507</c:v>
                </c:pt>
                <c:pt idx="55">
                  <c:v>509</c:v>
                </c:pt>
                <c:pt idx="56">
                  <c:v>509</c:v>
                </c:pt>
                <c:pt idx="57">
                  <c:v>511</c:v>
                </c:pt>
                <c:pt idx="58">
                  <c:v>512</c:v>
                </c:pt>
                <c:pt idx="59">
                  <c:v>512</c:v>
                </c:pt>
                <c:pt idx="60">
                  <c:v>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0F-4063-9C45-349C5D6F06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9294511"/>
        <c:axId val="59296911"/>
      </c:barChart>
      <c:catAx>
        <c:axId val="59294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296911"/>
        <c:crosses val="autoZero"/>
        <c:auto val="1"/>
        <c:lblAlgn val="ctr"/>
        <c:lblOffset val="100"/>
        <c:noMultiLvlLbl val="0"/>
      </c:catAx>
      <c:valAx>
        <c:axId val="59296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29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高复购与平均消费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Sheet1!$H$3</c:f>
              <c:strCache>
                <c:ptCount val="1"/>
                <c:pt idx="0">
                  <c:v>high_cust_num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Sheet1!$I$2:$L$2</c:f>
              <c:strCache>
                <c:ptCount val="4"/>
                <c:pt idx="0">
                  <c:v>Pune</c:v>
                </c:pt>
                <c:pt idx="1">
                  <c:v>Bangalore</c:v>
                </c:pt>
                <c:pt idx="2">
                  <c:v>Delhi</c:v>
                </c:pt>
                <c:pt idx="3">
                  <c:v>Mumbai</c:v>
                </c:pt>
              </c:strCache>
            </c:strRef>
          </c:cat>
          <c:val>
            <c:numRef>
              <c:f>Sheet1!$I$3:$L$3</c:f>
              <c:numCache>
                <c:formatCode>General</c:formatCode>
                <c:ptCount val="4"/>
                <c:pt idx="0">
                  <c:v>7135</c:v>
                </c:pt>
                <c:pt idx="1">
                  <c:v>7055</c:v>
                </c:pt>
                <c:pt idx="2">
                  <c:v>7052</c:v>
                </c:pt>
                <c:pt idx="3">
                  <c:v>7288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01-4084-8488-C6CF2B56FF2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4030255"/>
        <c:axId val="154031215"/>
      </c:barChart>
      <c:lineChart>
        <c:grouping val="standard"/>
        <c:varyColors val="0"/>
        <c:ser>
          <c:idx val="1"/>
          <c:order val="1"/>
          <c:tx>
            <c:strRef>
              <c:f>Sheet1!$H$4</c:f>
              <c:strCache>
                <c:ptCount val="1"/>
                <c:pt idx="0">
                  <c:v>avg_M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Sheet1!$I$2:$L$2</c:f>
              <c:strCache>
                <c:ptCount val="4"/>
                <c:pt idx="0">
                  <c:v>Pune</c:v>
                </c:pt>
                <c:pt idx="1">
                  <c:v>Bangalore</c:v>
                </c:pt>
                <c:pt idx="2">
                  <c:v>Delhi</c:v>
                </c:pt>
                <c:pt idx="3">
                  <c:v>Mumbai</c:v>
                </c:pt>
              </c:strCache>
            </c:strRef>
          </c:cat>
          <c:val>
            <c:numRef>
              <c:f>Sheet1!$I$4:$L$4</c:f>
              <c:numCache>
                <c:formatCode>General</c:formatCode>
                <c:ptCount val="4"/>
                <c:pt idx="0">
                  <c:v>4541916.3199999994</c:v>
                </c:pt>
                <c:pt idx="1">
                  <c:v>4537255.3699999992</c:v>
                </c:pt>
                <c:pt idx="2">
                  <c:v>4516181.5999999978</c:v>
                </c:pt>
                <c:pt idx="3">
                  <c:v>4555270.47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01-4084-8488-C6CF2B56FF2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4033615"/>
        <c:axId val="154033135"/>
      </c:lineChart>
      <c:catAx>
        <c:axId val="15403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031215"/>
        <c:crosses val="autoZero"/>
        <c:auto val="1"/>
        <c:lblAlgn val="ctr"/>
        <c:lblOffset val="100"/>
        <c:noMultiLvlLbl val="0"/>
      </c:catAx>
      <c:valAx>
        <c:axId val="15403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030255"/>
        <c:crosses val="autoZero"/>
        <c:crossBetween val="between"/>
      </c:valAx>
      <c:valAx>
        <c:axId val="15403313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033615"/>
        <c:crosses val="max"/>
        <c:crossBetween val="between"/>
      </c:valAx>
      <c:catAx>
        <c:axId val="1540336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40331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139700</xdr:colOff>
      <xdr:row>20</xdr:row>
      <xdr:rowOff>22224</xdr:rowOff>
    </xdr:from>
    <xdr:to>
      <xdr:col>17</xdr:col>
      <xdr:colOff>444500</xdr:colOff>
      <xdr:row>92</xdr:row>
      <xdr:rowOff>146050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3755455-338C-0A42-1BCE-B750566AC9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30406</xdr:colOff>
      <xdr:row>4</xdr:row>
      <xdr:rowOff>63857</xdr:rowOff>
    </xdr:from>
    <xdr:to>
      <xdr:col>13</xdr:col>
      <xdr:colOff>545561</xdr:colOff>
      <xdr:row>18</xdr:row>
      <xdr:rowOff>177621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872567AB-B960-1A35-C778-79050FBE15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12LUFE" refreshedDate="46182.395468402778" createdVersion="8" refreshedVersion="8" minRefreshableVersion="3" recordCount="244" xr:uid="{15178DE5-225A-4AB7-957E-B6F40C0B0A0C}">
  <cacheSource type="worksheet">
    <worksheetSource ref="A1:F245" sheet="Sheet1"/>
  </cacheSource>
  <cacheFields count="6">
    <cacheField name="city" numFmtId="0">
      <sharedItems/>
    </cacheField>
    <cacheField name="reg_month" numFmtId="0">
      <sharedItems count="61">
        <s v="2019-03"/>
        <s v="2019-01"/>
        <s v="2019-10"/>
        <s v="2019-07"/>
        <s v="2022-08"/>
        <s v="2023-10"/>
        <s v="2020-04"/>
        <s v="2022-07"/>
        <s v="2022-06"/>
        <s v="2020-07"/>
        <s v="2022-05"/>
        <s v="2023-12"/>
        <s v="2020-05"/>
        <s v="2019-11"/>
        <s v="2019-02"/>
        <s v="2023-05"/>
        <s v="2021-07"/>
        <s v="2021-04"/>
        <s v="2023-08"/>
        <s v="2023-01"/>
        <s v="2022-12"/>
        <s v="2021-06"/>
        <s v="2022-01"/>
        <s v="2019-08"/>
        <s v="2023-03"/>
        <s v="2020-12"/>
        <s v="2023-11"/>
        <s v="2023-04"/>
        <s v="2023-07"/>
        <s v="2019-05"/>
        <s v="2022-10"/>
        <s v="2020-10"/>
        <s v="2019-06"/>
        <s v="2021-05"/>
        <s v="2020-02"/>
        <s v="2021-12"/>
        <s v="2021-03"/>
        <s v="2019-09"/>
        <s v="2020-08"/>
        <s v="2022-09"/>
        <s v="2021-10"/>
        <s v="2023-06"/>
        <s v="2020-03"/>
        <s v="2019-12"/>
        <s v="2020-11"/>
        <s v="2021-01"/>
        <s v="2022-03"/>
        <s v="2019-04"/>
        <s v="2021-09"/>
        <s v="2022-04"/>
        <s v="2021-11"/>
        <s v="2023-09"/>
        <s v="2020-06"/>
        <s v="2023-02"/>
        <s v="2020-09"/>
        <s v="2021-08"/>
        <s v="2022-11"/>
        <s v="2020-01"/>
        <s v="2021-02"/>
        <s v="2022-02"/>
        <s v="2024-01"/>
      </sharedItems>
    </cacheField>
    <cacheField name="high_cust_num" numFmtId="0">
      <sharedItems containsSemiMixedTypes="0" containsString="0" containsNumber="1" containsInteger="1" minValue="1" maxValue="159"/>
    </cacheField>
    <cacheField name="avg_R" numFmtId="0">
      <sharedItems containsSemiMixedTypes="0" containsString="0" containsNumber="1" minValue="148.43" maxValue="601"/>
    </cacheField>
    <cacheField name="avg_F" numFmtId="0">
      <sharedItems containsSemiMixedTypes="0" containsString="0" containsNumber="1" minValue="5" maxValue="8"/>
    </cacheField>
    <cacheField name="avg_M" numFmtId="0">
      <sharedItems containsSemiMixedTypes="0" containsString="0" containsNumber="1" minValue="54771" maxValue="84841.60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">
  <r>
    <s v="Pune"/>
    <x v="0"/>
    <n v="159"/>
    <n v="257.56"/>
    <n v="7.44"/>
    <n v="74923.31"/>
  </r>
  <r>
    <s v="Bangalore"/>
    <x v="1"/>
    <n v="148"/>
    <n v="223.83"/>
    <n v="7.53"/>
    <n v="77235.7"/>
  </r>
  <r>
    <s v="Delhi"/>
    <x v="2"/>
    <n v="146"/>
    <n v="259.33999999999997"/>
    <n v="7.31"/>
    <n v="71050.12"/>
  </r>
  <r>
    <s v="Bangalore"/>
    <x v="3"/>
    <n v="145"/>
    <n v="235.05"/>
    <n v="7.22"/>
    <n v="74819"/>
  </r>
  <r>
    <s v="Bangalore"/>
    <x v="4"/>
    <n v="144"/>
    <n v="219.35"/>
    <n v="7.37"/>
    <n v="74722.75"/>
  </r>
  <r>
    <s v="Mumbai"/>
    <x v="5"/>
    <n v="143"/>
    <n v="236.28"/>
    <n v="7.4"/>
    <n v="77074.080000000002"/>
  </r>
  <r>
    <s v="Mumbai"/>
    <x v="6"/>
    <n v="142"/>
    <n v="243.87"/>
    <n v="7.37"/>
    <n v="73758.2"/>
  </r>
  <r>
    <s v="Mumbai"/>
    <x v="7"/>
    <n v="142"/>
    <n v="215.8"/>
    <n v="7.42"/>
    <n v="74603.94"/>
  </r>
  <r>
    <s v="Delhi"/>
    <x v="6"/>
    <n v="141"/>
    <n v="233.33"/>
    <n v="7.39"/>
    <n v="74469.33"/>
  </r>
  <r>
    <s v="Delhi"/>
    <x v="8"/>
    <n v="140"/>
    <n v="204.43"/>
    <n v="7.53"/>
    <n v="76743.14"/>
  </r>
  <r>
    <s v="Mumbai"/>
    <x v="9"/>
    <n v="140"/>
    <n v="244.21"/>
    <n v="7.52"/>
    <n v="76449.27"/>
  </r>
  <r>
    <s v="Mumbai"/>
    <x v="10"/>
    <n v="140"/>
    <n v="253.22"/>
    <n v="7.23"/>
    <n v="69622.539999999994"/>
  </r>
  <r>
    <s v="Mumbai"/>
    <x v="11"/>
    <n v="140"/>
    <n v="264.20999999999998"/>
    <n v="7.27"/>
    <n v="72029.740000000005"/>
  </r>
  <r>
    <s v="Pune"/>
    <x v="2"/>
    <n v="140"/>
    <n v="228.29"/>
    <n v="7.25"/>
    <n v="72738.490000000005"/>
  </r>
  <r>
    <s v="Bangalore"/>
    <x v="12"/>
    <n v="138"/>
    <n v="235.03"/>
    <n v="7.27"/>
    <n v="71779.83"/>
  </r>
  <r>
    <s v="Mumbai"/>
    <x v="13"/>
    <n v="138"/>
    <n v="221.69"/>
    <n v="7.43"/>
    <n v="77693.14"/>
  </r>
  <r>
    <s v="Bangalore"/>
    <x v="14"/>
    <n v="136"/>
    <n v="244.59"/>
    <n v="7.52"/>
    <n v="75661.740000000005"/>
  </r>
  <r>
    <s v="Delhi"/>
    <x v="15"/>
    <n v="136"/>
    <n v="239.08"/>
    <n v="7.54"/>
    <n v="76475.67"/>
  </r>
  <r>
    <s v="Mumbai"/>
    <x v="16"/>
    <n v="136"/>
    <n v="225.1"/>
    <n v="7.54"/>
    <n v="75014.41"/>
  </r>
  <r>
    <s v="Bangalore"/>
    <x v="17"/>
    <n v="134"/>
    <n v="244.95"/>
    <n v="7.01"/>
    <n v="69950.19"/>
  </r>
  <r>
    <s v="Mumbai"/>
    <x v="3"/>
    <n v="134"/>
    <n v="251.05"/>
    <n v="7.4"/>
    <n v="75398.11"/>
  </r>
  <r>
    <s v="Mumbai"/>
    <x v="18"/>
    <n v="134"/>
    <n v="232.42"/>
    <n v="7.39"/>
    <n v="74752.72"/>
  </r>
  <r>
    <s v="Delhi"/>
    <x v="19"/>
    <n v="133"/>
    <n v="211.87"/>
    <n v="7.62"/>
    <n v="75576.77"/>
  </r>
  <r>
    <s v="Pune"/>
    <x v="12"/>
    <n v="133"/>
    <n v="231.13"/>
    <n v="7.33"/>
    <n v="71965.289999999994"/>
  </r>
  <r>
    <s v="Pune"/>
    <x v="20"/>
    <n v="133"/>
    <n v="231.8"/>
    <n v="7.48"/>
    <n v="77063.14"/>
  </r>
  <r>
    <s v="Bangalore"/>
    <x v="21"/>
    <n v="131"/>
    <n v="236.86"/>
    <n v="7.5"/>
    <n v="74684.33"/>
  </r>
  <r>
    <s v="Delhi"/>
    <x v="22"/>
    <n v="131"/>
    <n v="216.48"/>
    <n v="7.03"/>
    <n v="68222.990000000005"/>
  </r>
  <r>
    <s v="Delhi"/>
    <x v="11"/>
    <n v="131"/>
    <n v="254.37"/>
    <n v="7.46"/>
    <n v="77426.66"/>
  </r>
  <r>
    <s v="Mumbai"/>
    <x v="23"/>
    <n v="131"/>
    <n v="253.06"/>
    <n v="7.2"/>
    <n v="72382.12"/>
  </r>
  <r>
    <s v="Mumbai"/>
    <x v="24"/>
    <n v="131"/>
    <n v="264.94"/>
    <n v="7.24"/>
    <n v="73086"/>
  </r>
  <r>
    <s v="Pune"/>
    <x v="4"/>
    <n v="131"/>
    <n v="217.6"/>
    <n v="7.47"/>
    <n v="75146.28"/>
  </r>
  <r>
    <s v="Bangalore"/>
    <x v="25"/>
    <n v="130"/>
    <n v="243.63"/>
    <n v="7.75"/>
    <n v="77143.12"/>
  </r>
  <r>
    <s v="Bangalore"/>
    <x v="20"/>
    <n v="130"/>
    <n v="235.74"/>
    <n v="7.46"/>
    <n v="74415.64"/>
  </r>
  <r>
    <s v="Bangalore"/>
    <x v="26"/>
    <n v="130"/>
    <n v="230.51"/>
    <n v="7.5"/>
    <n v="74500.52"/>
  </r>
  <r>
    <s v="Mumbai"/>
    <x v="27"/>
    <n v="130"/>
    <n v="227.47"/>
    <n v="7.16"/>
    <n v="74138.78"/>
  </r>
  <r>
    <s v="Mumbai"/>
    <x v="28"/>
    <n v="130"/>
    <n v="220.04"/>
    <n v="7.68"/>
    <n v="77040.84"/>
  </r>
  <r>
    <s v="Pune"/>
    <x v="29"/>
    <n v="130"/>
    <n v="213.41"/>
    <n v="7.44"/>
    <n v="73455.16"/>
  </r>
  <r>
    <s v="Pune"/>
    <x v="3"/>
    <n v="130"/>
    <n v="244.07"/>
    <n v="7.13"/>
    <n v="72744.55"/>
  </r>
  <r>
    <s v="Pune"/>
    <x v="30"/>
    <n v="130"/>
    <n v="231.92"/>
    <n v="7.67"/>
    <n v="77575.149999999994"/>
  </r>
  <r>
    <s v="Delhi"/>
    <x v="31"/>
    <n v="129"/>
    <n v="232.57"/>
    <n v="7.43"/>
    <n v="74122.17"/>
  </r>
  <r>
    <s v="Pune"/>
    <x v="31"/>
    <n v="129"/>
    <n v="253.63"/>
    <n v="7.54"/>
    <n v="77222.02"/>
  </r>
  <r>
    <s v="Delhi"/>
    <x v="28"/>
    <n v="128"/>
    <n v="231.55"/>
    <n v="7.35"/>
    <n v="73824.95"/>
  </r>
  <r>
    <s v="Delhi"/>
    <x v="26"/>
    <n v="128"/>
    <n v="229.69"/>
    <n v="7.12"/>
    <n v="71674.710000000006"/>
  </r>
  <r>
    <s v="Mumbai"/>
    <x v="32"/>
    <n v="128"/>
    <n v="228.15"/>
    <n v="7.14"/>
    <n v="73417.64"/>
  </r>
  <r>
    <s v="Mumbai"/>
    <x v="30"/>
    <n v="128"/>
    <n v="234.89"/>
    <n v="7.31"/>
    <n v="73519.81"/>
  </r>
  <r>
    <s v="Pune"/>
    <x v="33"/>
    <n v="128"/>
    <n v="197.49"/>
    <n v="7.93"/>
    <n v="80263.98"/>
  </r>
  <r>
    <s v="Bangalore"/>
    <x v="34"/>
    <n v="127"/>
    <n v="235.04"/>
    <n v="7.28"/>
    <n v="71006.929999999993"/>
  </r>
  <r>
    <s v="Bangalore"/>
    <x v="35"/>
    <n v="127"/>
    <n v="241.41"/>
    <n v="7.17"/>
    <n v="72290.94"/>
  </r>
  <r>
    <s v="Delhi"/>
    <x v="36"/>
    <n v="127"/>
    <n v="257.75"/>
    <n v="7.46"/>
    <n v="76053.39"/>
  </r>
  <r>
    <s v="Delhi"/>
    <x v="10"/>
    <n v="127"/>
    <n v="200.28"/>
    <n v="7.17"/>
    <n v="71418.14"/>
  </r>
  <r>
    <s v="Mumbai"/>
    <x v="0"/>
    <n v="127"/>
    <n v="266.17"/>
    <n v="7.55"/>
    <n v="76421.240000000005"/>
  </r>
  <r>
    <s v="Mumbai"/>
    <x v="37"/>
    <n v="127"/>
    <n v="224.72"/>
    <n v="7.35"/>
    <n v="74464.42"/>
  </r>
  <r>
    <s v="Mumbai"/>
    <x v="38"/>
    <n v="127"/>
    <n v="224.1"/>
    <n v="7.82"/>
    <n v="78483.95"/>
  </r>
  <r>
    <s v="Pune"/>
    <x v="38"/>
    <n v="127"/>
    <n v="238.37"/>
    <n v="7.36"/>
    <n v="74992.77"/>
  </r>
  <r>
    <s v="Pune"/>
    <x v="25"/>
    <n v="127"/>
    <n v="207.08"/>
    <n v="7.46"/>
    <n v="74296.11"/>
  </r>
  <r>
    <s v="Pune"/>
    <x v="35"/>
    <n v="127"/>
    <n v="206.38"/>
    <n v="7.57"/>
    <n v="76970.19"/>
  </r>
  <r>
    <s v="Delhi"/>
    <x v="21"/>
    <n v="126"/>
    <n v="211.94"/>
    <n v="7.59"/>
    <n v="76165.61"/>
  </r>
  <r>
    <s v="Delhi"/>
    <x v="39"/>
    <n v="126"/>
    <n v="191.43"/>
    <n v="7.57"/>
    <n v="77025.62"/>
  </r>
  <r>
    <s v="Delhi"/>
    <x v="30"/>
    <n v="126"/>
    <n v="224.49"/>
    <n v="7.53"/>
    <n v="77635.820000000007"/>
  </r>
  <r>
    <s v="Mumbai"/>
    <x v="21"/>
    <n v="126"/>
    <n v="255.92"/>
    <n v="7.42"/>
    <n v="74218.94"/>
  </r>
  <r>
    <s v="Mumbai"/>
    <x v="40"/>
    <n v="126"/>
    <n v="227.54"/>
    <n v="7.33"/>
    <n v="75957.789999999994"/>
  </r>
  <r>
    <s v="Mumbai"/>
    <x v="15"/>
    <n v="126"/>
    <n v="226.5"/>
    <n v="7.36"/>
    <n v="73416.960000000006"/>
  </r>
  <r>
    <s v="Pune"/>
    <x v="23"/>
    <n v="126"/>
    <n v="280.88"/>
    <n v="7.12"/>
    <n v="70359.94"/>
  </r>
  <r>
    <s v="Pune"/>
    <x v="21"/>
    <n v="126"/>
    <n v="243.33"/>
    <n v="7.26"/>
    <n v="70339.520000000004"/>
  </r>
  <r>
    <s v="Pune"/>
    <x v="19"/>
    <n v="126"/>
    <n v="222"/>
    <n v="7.33"/>
    <n v="75636.509999999995"/>
  </r>
  <r>
    <s v="Pune"/>
    <x v="41"/>
    <n v="126"/>
    <n v="255.89"/>
    <n v="7.59"/>
    <n v="77663.12"/>
  </r>
  <r>
    <s v="Bangalore"/>
    <x v="42"/>
    <n v="125"/>
    <n v="206.21"/>
    <n v="7.66"/>
    <n v="76956.02"/>
  </r>
  <r>
    <s v="Bangalore"/>
    <x v="36"/>
    <n v="125"/>
    <n v="233.55"/>
    <n v="7.31"/>
    <n v="73587.199999999997"/>
  </r>
  <r>
    <s v="Delhi"/>
    <x v="43"/>
    <n v="125"/>
    <n v="243.49"/>
    <n v="7.21"/>
    <n v="72773.259999999995"/>
  </r>
  <r>
    <s v="Delhi"/>
    <x v="38"/>
    <n v="125"/>
    <n v="210.53"/>
    <n v="7.56"/>
    <n v="76972.95"/>
  </r>
  <r>
    <s v="Delhi"/>
    <x v="44"/>
    <n v="125"/>
    <n v="248.34"/>
    <n v="7.42"/>
    <n v="74715.789999999994"/>
  </r>
  <r>
    <s v="Delhi"/>
    <x v="45"/>
    <n v="125"/>
    <n v="242.56"/>
    <n v="7.18"/>
    <n v="73184.73"/>
  </r>
  <r>
    <s v="Delhi"/>
    <x v="46"/>
    <n v="125"/>
    <n v="209.16"/>
    <n v="7.69"/>
    <n v="76593.52"/>
  </r>
  <r>
    <s v="Mumbai"/>
    <x v="35"/>
    <n v="125"/>
    <n v="204.58"/>
    <n v="7.44"/>
    <n v="74352.350000000006"/>
  </r>
  <r>
    <s v="Pune"/>
    <x v="47"/>
    <n v="125"/>
    <n v="283.17"/>
    <n v="7.46"/>
    <n v="75368.62"/>
  </r>
  <r>
    <s v="Pune"/>
    <x v="15"/>
    <n v="125"/>
    <n v="251.27"/>
    <n v="7.56"/>
    <n v="77185.179999999993"/>
  </r>
  <r>
    <s v="Bangalore"/>
    <x v="48"/>
    <n v="124"/>
    <n v="237.2"/>
    <n v="7.5"/>
    <n v="74781.119999999995"/>
  </r>
  <r>
    <s v="Bangalore"/>
    <x v="28"/>
    <n v="124"/>
    <n v="225.38"/>
    <n v="7.61"/>
    <n v="76332.06"/>
  </r>
  <r>
    <s v="Delhi"/>
    <x v="49"/>
    <n v="124"/>
    <n v="255.69"/>
    <n v="7.26"/>
    <n v="74803.28"/>
  </r>
  <r>
    <s v="Pune"/>
    <x v="43"/>
    <n v="124"/>
    <n v="247.19"/>
    <n v="7.51"/>
    <n v="74375.7"/>
  </r>
  <r>
    <s v="Pune"/>
    <x v="50"/>
    <n v="124"/>
    <n v="215.12"/>
    <n v="7.15"/>
    <n v="72187.839999999997"/>
  </r>
  <r>
    <s v="Pune"/>
    <x v="51"/>
    <n v="124"/>
    <n v="228.94"/>
    <n v="7.5"/>
    <n v="75241.94"/>
  </r>
  <r>
    <s v="Bangalore"/>
    <x v="39"/>
    <n v="123"/>
    <n v="239.3"/>
    <n v="7.48"/>
    <n v="74546.84"/>
  </r>
  <r>
    <s v="Bangalore"/>
    <x v="30"/>
    <n v="123"/>
    <n v="211.07"/>
    <n v="7.67"/>
    <n v="77737.600000000006"/>
  </r>
  <r>
    <s v="Bangalore"/>
    <x v="5"/>
    <n v="123"/>
    <n v="255.74"/>
    <n v="7.2"/>
    <n v="74067.28"/>
  </r>
  <r>
    <s v="Delhi"/>
    <x v="3"/>
    <n v="123"/>
    <n v="241.67"/>
    <n v="7.52"/>
    <n v="74412.38"/>
  </r>
  <r>
    <s v="Delhi"/>
    <x v="27"/>
    <n v="123"/>
    <n v="252.53"/>
    <n v="7.17"/>
    <n v="70953.06"/>
  </r>
  <r>
    <s v="Bangalore"/>
    <x v="8"/>
    <n v="122"/>
    <n v="250.53"/>
    <n v="7.43"/>
    <n v="74667.03"/>
  </r>
  <r>
    <s v="Delhi"/>
    <x v="20"/>
    <n v="122"/>
    <n v="235.66"/>
    <n v="7.28"/>
    <n v="72834.460000000006"/>
  </r>
  <r>
    <s v="Mumbai"/>
    <x v="29"/>
    <n v="122"/>
    <n v="226.04"/>
    <n v="7.42"/>
    <n v="74217.11"/>
  </r>
  <r>
    <s v="Mumbai"/>
    <x v="43"/>
    <n v="122"/>
    <n v="297.2"/>
    <n v="7.35"/>
    <n v="73801.31"/>
  </r>
  <r>
    <s v="Mumbai"/>
    <x v="42"/>
    <n v="122"/>
    <n v="251.43"/>
    <n v="6.79"/>
    <n v="68344.91"/>
  </r>
  <r>
    <s v="Mumbai"/>
    <x v="19"/>
    <n v="122"/>
    <n v="255.03"/>
    <n v="7.59"/>
    <n v="76929.22"/>
  </r>
  <r>
    <s v="Pune"/>
    <x v="5"/>
    <n v="122"/>
    <n v="250.34"/>
    <n v="7.46"/>
    <n v="75602.22"/>
  </r>
  <r>
    <s v="Bangalore"/>
    <x v="41"/>
    <n v="121"/>
    <n v="268.94"/>
    <n v="7.54"/>
    <n v="76541.210000000006"/>
  </r>
  <r>
    <s v="Bangalore"/>
    <x v="18"/>
    <n v="121"/>
    <n v="246.5"/>
    <n v="7.47"/>
    <n v="73685.98"/>
  </r>
  <r>
    <s v="Delhi"/>
    <x v="52"/>
    <n v="121"/>
    <n v="239.54"/>
    <n v="7.59"/>
    <n v="79545.759999999995"/>
  </r>
  <r>
    <s v="Delhi"/>
    <x v="9"/>
    <n v="121"/>
    <n v="237.56"/>
    <n v="7.64"/>
    <n v="76759.06"/>
  </r>
  <r>
    <s v="Delhi"/>
    <x v="50"/>
    <n v="121"/>
    <n v="230.22"/>
    <n v="7.33"/>
    <n v="75502.77"/>
  </r>
  <r>
    <s v="Delhi"/>
    <x v="4"/>
    <n v="121"/>
    <n v="213.54"/>
    <n v="7.43"/>
    <n v="74549.87"/>
  </r>
  <r>
    <s v="Delhi"/>
    <x v="5"/>
    <n v="121"/>
    <n v="263.64"/>
    <n v="7.38"/>
    <n v="71053.31"/>
  </r>
  <r>
    <s v="Mumbai"/>
    <x v="31"/>
    <n v="121"/>
    <n v="288.98"/>
    <n v="7.15"/>
    <n v="72742.3"/>
  </r>
  <r>
    <s v="Mumbai"/>
    <x v="44"/>
    <n v="121"/>
    <n v="268.74"/>
    <n v="7.03"/>
    <n v="68199.64"/>
  </r>
  <r>
    <s v="Mumbai"/>
    <x v="25"/>
    <n v="121"/>
    <n v="269.41000000000003"/>
    <n v="7.45"/>
    <n v="75079.09"/>
  </r>
  <r>
    <s v="Mumbai"/>
    <x v="36"/>
    <n v="121"/>
    <n v="226.06"/>
    <n v="7.5"/>
    <n v="74776.84"/>
  </r>
  <r>
    <s v="Mumbai"/>
    <x v="49"/>
    <n v="121"/>
    <n v="214.17"/>
    <n v="7.6"/>
    <n v="76441.08"/>
  </r>
  <r>
    <s v="Mumbai"/>
    <x v="53"/>
    <n v="121"/>
    <n v="241.47"/>
    <n v="7.54"/>
    <n v="76819.42"/>
  </r>
  <r>
    <s v="Pune"/>
    <x v="9"/>
    <n v="121"/>
    <n v="236.79"/>
    <n v="7.44"/>
    <n v="75302"/>
  </r>
  <r>
    <s v="Pune"/>
    <x v="17"/>
    <n v="121"/>
    <n v="253.51"/>
    <n v="7.17"/>
    <n v="72027.7"/>
  </r>
  <r>
    <s v="Pune"/>
    <x v="16"/>
    <n v="121"/>
    <n v="219.48"/>
    <n v="7.26"/>
    <n v="74303.47"/>
  </r>
  <r>
    <s v="Bangalore"/>
    <x v="13"/>
    <n v="120"/>
    <n v="262.87"/>
    <n v="7"/>
    <n v="67912.02"/>
  </r>
  <r>
    <s v="Bangalore"/>
    <x v="40"/>
    <n v="120"/>
    <n v="223.18"/>
    <n v="7.88"/>
    <n v="81801.78"/>
  </r>
  <r>
    <s v="Bangalore"/>
    <x v="19"/>
    <n v="120"/>
    <n v="233.18"/>
    <n v="7.51"/>
    <n v="79656.88"/>
  </r>
  <r>
    <s v="Bangalore"/>
    <x v="15"/>
    <n v="120"/>
    <n v="255.26"/>
    <n v="7.43"/>
    <n v="76551.179999999993"/>
  </r>
  <r>
    <s v="Mumbai"/>
    <x v="41"/>
    <n v="120"/>
    <n v="227.67"/>
    <n v="7.37"/>
    <n v="74234.81"/>
  </r>
  <r>
    <s v="Pune"/>
    <x v="6"/>
    <n v="120"/>
    <n v="220.39"/>
    <n v="7.43"/>
    <n v="74036.42"/>
  </r>
  <r>
    <s v="Pune"/>
    <x v="10"/>
    <n v="120"/>
    <n v="241.89"/>
    <n v="7.57"/>
    <n v="75301.460000000006"/>
  </r>
  <r>
    <s v="Delhi"/>
    <x v="37"/>
    <n v="119"/>
    <n v="247.88"/>
    <n v="7.4"/>
    <n v="75033.759999999995"/>
  </r>
  <r>
    <s v="Delhi"/>
    <x v="54"/>
    <n v="119"/>
    <n v="221.5"/>
    <n v="7.63"/>
    <n v="77786.42"/>
  </r>
  <r>
    <s v="Mumbai"/>
    <x v="34"/>
    <n v="119"/>
    <n v="244.92"/>
    <n v="7.45"/>
    <n v="74949.91"/>
  </r>
  <r>
    <s v="Mumbai"/>
    <x v="55"/>
    <n v="119"/>
    <n v="241.51"/>
    <n v="7.27"/>
    <n v="73950.850000000006"/>
  </r>
  <r>
    <s v="Bangalore"/>
    <x v="38"/>
    <n v="118"/>
    <n v="232.99"/>
    <n v="7.33"/>
    <n v="77408.33"/>
  </r>
  <r>
    <s v="Bangalore"/>
    <x v="44"/>
    <n v="118"/>
    <n v="214.61"/>
    <n v="7.53"/>
    <n v="77830.429999999993"/>
  </r>
  <r>
    <s v="Delhi"/>
    <x v="56"/>
    <n v="118"/>
    <n v="224.21"/>
    <n v="7.38"/>
    <n v="72609.62"/>
  </r>
  <r>
    <s v="Mumbai"/>
    <x v="45"/>
    <n v="118"/>
    <n v="197.92"/>
    <n v="7.43"/>
    <n v="72998.58"/>
  </r>
  <r>
    <s v="Mumbai"/>
    <x v="8"/>
    <n v="118"/>
    <n v="236.53"/>
    <n v="7.57"/>
    <n v="75076.460000000006"/>
  </r>
  <r>
    <s v="Pune"/>
    <x v="42"/>
    <n v="118"/>
    <n v="288.89999999999998"/>
    <n v="7.31"/>
    <n v="76184.990000000005"/>
  </r>
  <r>
    <s v="Pune"/>
    <x v="36"/>
    <n v="118"/>
    <n v="231.79"/>
    <n v="7.5"/>
    <n v="75025.789999999994"/>
  </r>
  <r>
    <s v="Pune"/>
    <x v="55"/>
    <n v="118"/>
    <n v="245.95"/>
    <n v="7.24"/>
    <n v="71369.69"/>
  </r>
  <r>
    <s v="Pune"/>
    <x v="48"/>
    <n v="118"/>
    <n v="243.15"/>
    <n v="7.47"/>
    <n v="75679.320000000007"/>
  </r>
  <r>
    <s v="Pune"/>
    <x v="7"/>
    <n v="118"/>
    <n v="270.41000000000003"/>
    <n v="7.3"/>
    <n v="73316.84"/>
  </r>
  <r>
    <s v="Pune"/>
    <x v="18"/>
    <n v="118"/>
    <n v="202.73"/>
    <n v="7.23"/>
    <n v="71844.41"/>
  </r>
  <r>
    <s v="Bangalore"/>
    <x v="57"/>
    <n v="117"/>
    <n v="252.08"/>
    <n v="7.2"/>
    <n v="70410.039999999994"/>
  </r>
  <r>
    <s v="Bangalore"/>
    <x v="9"/>
    <n v="117"/>
    <n v="229.24"/>
    <n v="7.53"/>
    <n v="77004.59"/>
  </r>
  <r>
    <s v="Bangalore"/>
    <x v="54"/>
    <n v="117"/>
    <n v="263.37"/>
    <n v="7"/>
    <n v="74211.990000000005"/>
  </r>
  <r>
    <s v="Bangalore"/>
    <x v="45"/>
    <n v="117"/>
    <n v="216.4"/>
    <n v="7.6"/>
    <n v="76189.850000000006"/>
  </r>
  <r>
    <s v="Bangalore"/>
    <x v="16"/>
    <n v="117"/>
    <n v="266.31"/>
    <n v="7.37"/>
    <n v="74583.95"/>
  </r>
  <r>
    <s v="Bangalore"/>
    <x v="10"/>
    <n v="117"/>
    <n v="230.48"/>
    <n v="7.28"/>
    <n v="74302.600000000006"/>
  </r>
  <r>
    <s v="Bangalore"/>
    <x v="24"/>
    <n v="117"/>
    <n v="202.93"/>
    <n v="7.38"/>
    <n v="71176.38"/>
  </r>
  <r>
    <s v="Delhi"/>
    <x v="13"/>
    <n v="117"/>
    <n v="266.69"/>
    <n v="7.5"/>
    <n v="71586.63"/>
  </r>
  <r>
    <s v="Mumbai"/>
    <x v="20"/>
    <n v="117"/>
    <n v="271.45"/>
    <n v="7.27"/>
    <n v="71083.600000000006"/>
  </r>
  <r>
    <s v="Pune"/>
    <x v="57"/>
    <n v="117"/>
    <n v="260.19"/>
    <n v="7.09"/>
    <n v="70968.38"/>
  </r>
  <r>
    <s v="Pune"/>
    <x v="45"/>
    <n v="117"/>
    <n v="235.72"/>
    <n v="7.4"/>
    <n v="74720.289999999994"/>
  </r>
  <r>
    <s v="Pune"/>
    <x v="22"/>
    <n v="117"/>
    <n v="245.29"/>
    <n v="7.47"/>
    <n v="74284.009999999995"/>
  </r>
  <r>
    <s v="Pune"/>
    <x v="8"/>
    <n v="117"/>
    <n v="265.23"/>
    <n v="6.97"/>
    <n v="70414.92"/>
  </r>
  <r>
    <s v="Bangalore"/>
    <x v="31"/>
    <n v="116"/>
    <n v="240.7"/>
    <n v="7.33"/>
    <n v="74561.42"/>
  </r>
  <r>
    <s v="Bangalore"/>
    <x v="33"/>
    <n v="116"/>
    <n v="209.96"/>
    <n v="7.56"/>
    <n v="74413.320000000007"/>
  </r>
  <r>
    <s v="Bangalore"/>
    <x v="56"/>
    <n v="116"/>
    <n v="203.16"/>
    <n v="7.22"/>
    <n v="73864.37"/>
  </r>
  <r>
    <s v="Bangalore"/>
    <x v="27"/>
    <n v="116"/>
    <n v="214.39"/>
    <n v="7.49"/>
    <n v="75959.789999999994"/>
  </r>
  <r>
    <s v="Delhi"/>
    <x v="48"/>
    <n v="116"/>
    <n v="275.08999999999997"/>
    <n v="7.47"/>
    <n v="77309.460000000006"/>
  </r>
  <r>
    <s v="Delhi"/>
    <x v="40"/>
    <n v="116"/>
    <n v="229.41"/>
    <n v="7.39"/>
    <n v="73268.759999999995"/>
  </r>
  <r>
    <s v="Delhi"/>
    <x v="51"/>
    <n v="116"/>
    <n v="263.70999999999998"/>
    <n v="7.42"/>
    <n v="77288.929999999993"/>
  </r>
  <r>
    <s v="Mumbai"/>
    <x v="54"/>
    <n v="116"/>
    <n v="220.16"/>
    <n v="7.4"/>
    <n v="76911.17"/>
  </r>
  <r>
    <s v="Mumbai"/>
    <x v="48"/>
    <n v="116"/>
    <n v="237.5"/>
    <n v="7.32"/>
    <n v="70046.83"/>
  </r>
  <r>
    <s v="Pune"/>
    <x v="32"/>
    <n v="116"/>
    <n v="236.1"/>
    <n v="7.78"/>
    <n v="78185.88"/>
  </r>
  <r>
    <s v="Pune"/>
    <x v="44"/>
    <n v="116"/>
    <n v="229.64"/>
    <n v="7.16"/>
    <n v="71091.97"/>
  </r>
  <r>
    <s v="Pune"/>
    <x v="40"/>
    <n v="116"/>
    <n v="217.1"/>
    <n v="7.4"/>
    <n v="75114.03"/>
  </r>
  <r>
    <s v="Bangalore"/>
    <x v="2"/>
    <n v="115"/>
    <n v="237.87"/>
    <n v="7.53"/>
    <n v="74093.210000000006"/>
  </r>
  <r>
    <s v="Delhi"/>
    <x v="23"/>
    <n v="115"/>
    <n v="224.71"/>
    <n v="7.26"/>
    <n v="72019.83"/>
  </r>
  <r>
    <s v="Mumbai"/>
    <x v="17"/>
    <n v="115"/>
    <n v="232.78"/>
    <n v="7.53"/>
    <n v="75529.05"/>
  </r>
  <r>
    <s v="Mumbai"/>
    <x v="33"/>
    <n v="115"/>
    <n v="203.79"/>
    <n v="7.68"/>
    <n v="78073.25"/>
  </r>
  <r>
    <s v="Mumbai"/>
    <x v="51"/>
    <n v="115"/>
    <n v="223.39"/>
    <n v="7.48"/>
    <n v="75241.460000000006"/>
  </r>
  <r>
    <s v="Delhi"/>
    <x v="0"/>
    <n v="114"/>
    <n v="215.6"/>
    <n v="7.58"/>
    <n v="76345.59"/>
  </r>
  <r>
    <s v="Delhi"/>
    <x v="35"/>
    <n v="114"/>
    <n v="239.61"/>
    <n v="7.34"/>
    <n v="72651.05"/>
  </r>
  <r>
    <s v="Mumbai"/>
    <x v="1"/>
    <n v="114"/>
    <n v="224.35"/>
    <n v="7.56"/>
    <n v="76875.59"/>
  </r>
  <r>
    <s v="Mumbai"/>
    <x v="12"/>
    <n v="114"/>
    <n v="227.85"/>
    <n v="7.66"/>
    <n v="77095.58"/>
  </r>
  <r>
    <s v="Mumbai"/>
    <x v="46"/>
    <n v="114"/>
    <n v="253.73"/>
    <n v="7.3"/>
    <n v="74291.83"/>
  </r>
  <r>
    <s v="Pune"/>
    <x v="54"/>
    <n v="114"/>
    <n v="216.4"/>
    <n v="7.36"/>
    <n v="74994.350000000006"/>
  </r>
  <r>
    <s v="Delhi"/>
    <x v="57"/>
    <n v="113"/>
    <n v="211.09"/>
    <n v="7.6"/>
    <n v="73939.5"/>
  </r>
  <r>
    <s v="Mumbai"/>
    <x v="50"/>
    <n v="113"/>
    <n v="249.81"/>
    <n v="7.32"/>
    <n v="74437.679999999993"/>
  </r>
  <r>
    <s v="Mumbai"/>
    <x v="56"/>
    <n v="113"/>
    <n v="252.63"/>
    <n v="7.19"/>
    <n v="73638.399999999994"/>
  </r>
  <r>
    <s v="Pune"/>
    <x v="58"/>
    <n v="113"/>
    <n v="231.18"/>
    <n v="7.5"/>
    <n v="74231.91"/>
  </r>
  <r>
    <s v="Pune"/>
    <x v="11"/>
    <n v="113"/>
    <n v="238.89"/>
    <n v="7.68"/>
    <n v="76396.67"/>
  </r>
  <r>
    <s v="Delhi"/>
    <x v="12"/>
    <n v="112"/>
    <n v="257.89"/>
    <n v="7.1"/>
    <n v="73248.63"/>
  </r>
  <r>
    <s v="Mumbai"/>
    <x v="47"/>
    <n v="112"/>
    <n v="219.46"/>
    <n v="7.32"/>
    <n v="75457.81"/>
  </r>
  <r>
    <s v="Pune"/>
    <x v="37"/>
    <n v="112"/>
    <n v="234.81"/>
    <n v="7.12"/>
    <n v="70542.490000000005"/>
  </r>
  <r>
    <s v="Pune"/>
    <x v="52"/>
    <n v="112"/>
    <n v="230.41"/>
    <n v="7.92"/>
    <n v="79003.289999999994"/>
  </r>
  <r>
    <s v="Pune"/>
    <x v="49"/>
    <n v="112"/>
    <n v="245.38"/>
    <n v="7.39"/>
    <n v="72910.600000000006"/>
  </r>
  <r>
    <s v="Bangalore"/>
    <x v="0"/>
    <n v="111"/>
    <n v="205.34"/>
    <n v="7.35"/>
    <n v="72915.95"/>
  </r>
  <r>
    <s v="Bangalore"/>
    <x v="58"/>
    <n v="111"/>
    <n v="208.79"/>
    <n v="7.38"/>
    <n v="72487.899999999994"/>
  </r>
  <r>
    <s v="Delhi"/>
    <x v="17"/>
    <n v="111"/>
    <n v="274.27999999999997"/>
    <n v="7.36"/>
    <n v="74996.12"/>
  </r>
  <r>
    <s v="Delhi"/>
    <x v="55"/>
    <n v="111"/>
    <n v="230.39"/>
    <n v="7.23"/>
    <n v="73600.88"/>
  </r>
  <r>
    <s v="Mumbai"/>
    <x v="2"/>
    <n v="111"/>
    <n v="208.21"/>
    <n v="7.65"/>
    <n v="75706.460000000006"/>
  </r>
  <r>
    <s v="Pune"/>
    <x v="1"/>
    <n v="111"/>
    <n v="228.32"/>
    <n v="7.41"/>
    <n v="75032.47"/>
  </r>
  <r>
    <s v="Pune"/>
    <x v="13"/>
    <n v="111"/>
    <n v="199.73"/>
    <n v="7.47"/>
    <n v="73914.67"/>
  </r>
  <r>
    <s v="Bangalore"/>
    <x v="37"/>
    <n v="110"/>
    <n v="216.64"/>
    <n v="7.8"/>
    <n v="79252.55"/>
  </r>
  <r>
    <s v="Bangalore"/>
    <x v="43"/>
    <n v="110"/>
    <n v="240.47"/>
    <n v="7.6"/>
    <n v="76169.06"/>
  </r>
  <r>
    <s v="Bangalore"/>
    <x v="22"/>
    <n v="110"/>
    <n v="208.28"/>
    <n v="7.62"/>
    <n v="76448.25"/>
  </r>
  <r>
    <s v="Delhi"/>
    <x v="42"/>
    <n v="110"/>
    <n v="216.19"/>
    <n v="7.4"/>
    <n v="76919.05"/>
  </r>
  <r>
    <s v="Mumbai"/>
    <x v="59"/>
    <n v="110"/>
    <n v="238.79"/>
    <n v="7.38"/>
    <n v="73900.990000000005"/>
  </r>
  <r>
    <s v="Bangalore"/>
    <x v="6"/>
    <n v="109"/>
    <n v="221.68"/>
    <n v="7.55"/>
    <n v="75167.009999999995"/>
  </r>
  <r>
    <s v="Bangalore"/>
    <x v="59"/>
    <n v="109"/>
    <n v="253.6"/>
    <n v="6.79"/>
    <n v="66910.490000000005"/>
  </r>
  <r>
    <s v="Bangalore"/>
    <x v="46"/>
    <n v="109"/>
    <n v="253.13"/>
    <n v="7.28"/>
    <n v="73958.67"/>
  </r>
  <r>
    <s v="Delhi"/>
    <x v="7"/>
    <n v="109"/>
    <n v="253.69"/>
    <n v="7.28"/>
    <n v="72817.509999999995"/>
  </r>
  <r>
    <s v="Mumbai"/>
    <x v="4"/>
    <n v="109"/>
    <n v="232.86"/>
    <n v="7.42"/>
    <n v="72881.61"/>
  </r>
  <r>
    <s v="Bangalore"/>
    <x v="29"/>
    <n v="108"/>
    <n v="211.19"/>
    <n v="7.68"/>
    <n v="75818.259999999995"/>
  </r>
  <r>
    <s v="Bangalore"/>
    <x v="32"/>
    <n v="108"/>
    <n v="250.71"/>
    <n v="7.54"/>
    <n v="72854.45"/>
  </r>
  <r>
    <s v="Pune"/>
    <x v="14"/>
    <n v="108"/>
    <n v="227.56"/>
    <n v="7.7"/>
    <n v="76683.990000000005"/>
  </r>
  <r>
    <s v="Pune"/>
    <x v="26"/>
    <n v="108"/>
    <n v="268.04000000000002"/>
    <n v="7.44"/>
    <n v="76395.179999999993"/>
  </r>
  <r>
    <s v="Bangalore"/>
    <x v="7"/>
    <n v="107"/>
    <n v="255.58"/>
    <n v="7.5"/>
    <n v="74227.75"/>
  </r>
  <r>
    <s v="Bangalore"/>
    <x v="11"/>
    <n v="107"/>
    <n v="229.79"/>
    <n v="7.5"/>
    <n v="77043.78"/>
  </r>
  <r>
    <s v="Delhi"/>
    <x v="29"/>
    <n v="107"/>
    <n v="252.36"/>
    <n v="7.24"/>
    <n v="71851.42"/>
  </r>
  <r>
    <s v="Delhi"/>
    <x v="59"/>
    <n v="107"/>
    <n v="241.63"/>
    <n v="7.29"/>
    <n v="72063.649999999994"/>
  </r>
  <r>
    <s v="Mumbai"/>
    <x v="39"/>
    <n v="107"/>
    <n v="219.22"/>
    <n v="7.24"/>
    <n v="72002.820000000007"/>
  </r>
  <r>
    <s v="Pune"/>
    <x v="24"/>
    <n v="107"/>
    <n v="213.66"/>
    <n v="7.3"/>
    <n v="72538.63"/>
  </r>
  <r>
    <s v="Pune"/>
    <x v="28"/>
    <n v="107"/>
    <n v="219.77"/>
    <n v="7.54"/>
    <n v="76462.48"/>
  </r>
  <r>
    <s v="Delhi"/>
    <x v="33"/>
    <n v="106"/>
    <n v="262.98"/>
    <n v="7.11"/>
    <n v="72903.42"/>
  </r>
  <r>
    <s v="Bangalore"/>
    <x v="53"/>
    <n v="105"/>
    <n v="208.2"/>
    <n v="7.57"/>
    <n v="76059.94"/>
  </r>
  <r>
    <s v="Mumbai"/>
    <x v="57"/>
    <n v="105"/>
    <n v="248.59"/>
    <n v="7.61"/>
    <n v="76840.509999999995"/>
  </r>
  <r>
    <s v="Mumbai"/>
    <x v="58"/>
    <n v="105"/>
    <n v="202.11"/>
    <n v="7.79"/>
    <n v="78396.100000000006"/>
  </r>
  <r>
    <s v="Delhi"/>
    <x v="1"/>
    <n v="104"/>
    <n v="254.91"/>
    <n v="6.85"/>
    <n v="68192.399999999994"/>
  </r>
  <r>
    <s v="Delhi"/>
    <x v="18"/>
    <n v="104"/>
    <n v="225.99"/>
    <n v="7.4"/>
    <n v="76671.38"/>
  </r>
  <r>
    <s v="Pune"/>
    <x v="56"/>
    <n v="104"/>
    <n v="223.87"/>
    <n v="7.64"/>
    <n v="77889.320000000007"/>
  </r>
  <r>
    <s v="Pune"/>
    <x v="27"/>
    <n v="104"/>
    <n v="226.1"/>
    <n v="7.59"/>
    <n v="73827.78"/>
  </r>
  <r>
    <s v="Delhi"/>
    <x v="32"/>
    <n v="102"/>
    <n v="255.78"/>
    <n v="7.22"/>
    <n v="72616.69"/>
  </r>
  <r>
    <s v="Delhi"/>
    <x v="25"/>
    <n v="102"/>
    <n v="232.7"/>
    <n v="7.13"/>
    <n v="71995.17"/>
  </r>
  <r>
    <s v="Delhi"/>
    <x v="53"/>
    <n v="102"/>
    <n v="250.94"/>
    <n v="7.14"/>
    <n v="72709.67"/>
  </r>
  <r>
    <s v="Mumbai"/>
    <x v="14"/>
    <n v="102"/>
    <n v="239.73"/>
    <n v="7.54"/>
    <n v="72692.539999999994"/>
  </r>
  <r>
    <s v="Delhi"/>
    <x v="16"/>
    <n v="101"/>
    <n v="252.25"/>
    <n v="7.16"/>
    <n v="74800.899999999994"/>
  </r>
  <r>
    <s v="Mumbai"/>
    <x v="52"/>
    <n v="101"/>
    <n v="235.34"/>
    <n v="7.42"/>
    <n v="76075.19"/>
  </r>
  <r>
    <s v="Mumbai"/>
    <x v="22"/>
    <n v="101"/>
    <n v="247.22"/>
    <n v="7.07"/>
    <n v="72473.3"/>
  </r>
  <r>
    <s v="Pune"/>
    <x v="59"/>
    <n v="101"/>
    <n v="272.95"/>
    <n v="7.32"/>
    <n v="72299.460000000006"/>
  </r>
  <r>
    <s v="Bangalore"/>
    <x v="55"/>
    <n v="100"/>
    <n v="240.97"/>
    <n v="7.44"/>
    <n v="76195.320000000007"/>
  </r>
  <r>
    <s v="Delhi"/>
    <x v="14"/>
    <n v="100"/>
    <n v="214.45"/>
    <n v="7.81"/>
    <n v="77631.03"/>
  </r>
  <r>
    <s v="Bangalore"/>
    <x v="47"/>
    <n v="99"/>
    <n v="224.08"/>
    <n v="7.41"/>
    <n v="74934.03"/>
  </r>
  <r>
    <s v="Bangalore"/>
    <x v="49"/>
    <n v="99"/>
    <n v="234.97"/>
    <n v="7.6"/>
    <n v="74537.41"/>
  </r>
  <r>
    <s v="Bangalore"/>
    <x v="51"/>
    <n v="99"/>
    <n v="255.02"/>
    <n v="7.19"/>
    <n v="72232.639999999999"/>
  </r>
  <r>
    <s v="Delhi"/>
    <x v="24"/>
    <n v="99"/>
    <n v="227.61"/>
    <n v="7.48"/>
    <n v="77716.649999999994"/>
  </r>
  <r>
    <s v="Delhi"/>
    <x v="41"/>
    <n v="99"/>
    <n v="265.73"/>
    <n v="7.11"/>
    <n v="72113.67"/>
  </r>
  <r>
    <s v="Mumbai"/>
    <x v="26"/>
    <n v="99"/>
    <n v="257.81"/>
    <n v="7.25"/>
    <n v="74918.58"/>
  </r>
  <r>
    <s v="Pune"/>
    <x v="46"/>
    <n v="99"/>
    <n v="252.97"/>
    <n v="7.28"/>
    <n v="71149.02"/>
  </r>
  <r>
    <s v="Pune"/>
    <x v="39"/>
    <n v="98"/>
    <n v="243.74"/>
    <n v="7.4"/>
    <n v="72937.61"/>
  </r>
  <r>
    <s v="Pune"/>
    <x v="53"/>
    <n v="98"/>
    <n v="238.6"/>
    <n v="7.22"/>
    <n v="73554.179999999993"/>
  </r>
  <r>
    <s v="Delhi"/>
    <x v="47"/>
    <n v="97"/>
    <n v="231.71"/>
    <n v="7.38"/>
    <n v="75237.460000000006"/>
  </r>
  <r>
    <s v="Delhi"/>
    <x v="34"/>
    <n v="97"/>
    <n v="233.74"/>
    <n v="7.04"/>
    <n v="69259.87"/>
  </r>
  <r>
    <s v="Pune"/>
    <x v="34"/>
    <n v="97"/>
    <n v="245.21"/>
    <n v="7.43"/>
    <n v="75062.48"/>
  </r>
  <r>
    <s v="Bangalore"/>
    <x v="23"/>
    <n v="95"/>
    <n v="240.59"/>
    <n v="7.36"/>
    <n v="73288.59"/>
  </r>
  <r>
    <s v="Delhi"/>
    <x v="58"/>
    <n v="95"/>
    <n v="232.35"/>
    <n v="7.28"/>
    <n v="73487.520000000004"/>
  </r>
  <r>
    <s v="Bangalore"/>
    <x v="52"/>
    <n v="92"/>
    <n v="250.8"/>
    <n v="7.32"/>
    <n v="76038.899999999994"/>
  </r>
  <r>
    <s v="Bangalore"/>
    <x v="50"/>
    <n v="91"/>
    <n v="200.43"/>
    <n v="7.42"/>
    <n v="72898.259999999995"/>
  </r>
  <r>
    <s v="Pune"/>
    <x v="60"/>
    <n v="7"/>
    <n v="148.43"/>
    <n v="7.29"/>
    <n v="73601.14"/>
  </r>
  <r>
    <s v="Mumbai"/>
    <x v="60"/>
    <n v="5"/>
    <n v="156.80000000000001"/>
    <n v="8"/>
    <n v="84841.600000000006"/>
  </r>
  <r>
    <s v="Delhi"/>
    <x v="60"/>
    <n v="3"/>
    <n v="396.33"/>
    <n v="6"/>
    <n v="62969.67"/>
  </r>
  <r>
    <s v="Bangalore"/>
    <x v="60"/>
    <n v="1"/>
    <n v="601"/>
    <n v="5"/>
    <n v="547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E7E913-1DF4-4F7F-8088-03A97522A9F0}" name="数据透视表2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6">
  <location ref="I21:J83" firstHeaderRow="1" firstDataRow="1" firstDataCol="1"/>
  <pivotFields count="6">
    <pivotField showAll="0"/>
    <pivotField axis="axisRow" showAll="0" sortType="ascending">
      <items count="62">
        <item x="1"/>
        <item x="14"/>
        <item x="0"/>
        <item x="47"/>
        <item x="29"/>
        <item x="32"/>
        <item x="3"/>
        <item x="23"/>
        <item x="37"/>
        <item x="2"/>
        <item x="13"/>
        <item x="43"/>
        <item x="57"/>
        <item x="34"/>
        <item x="42"/>
        <item x="6"/>
        <item x="12"/>
        <item x="52"/>
        <item x="9"/>
        <item x="38"/>
        <item x="54"/>
        <item x="31"/>
        <item x="44"/>
        <item x="25"/>
        <item x="45"/>
        <item x="58"/>
        <item x="36"/>
        <item x="17"/>
        <item x="33"/>
        <item x="21"/>
        <item x="16"/>
        <item x="55"/>
        <item x="48"/>
        <item x="40"/>
        <item x="50"/>
        <item x="35"/>
        <item x="22"/>
        <item x="59"/>
        <item x="46"/>
        <item x="49"/>
        <item x="10"/>
        <item x="8"/>
        <item x="7"/>
        <item x="4"/>
        <item x="39"/>
        <item x="30"/>
        <item x="56"/>
        <item x="20"/>
        <item x="19"/>
        <item x="53"/>
        <item x="24"/>
        <item x="27"/>
        <item x="15"/>
        <item x="41"/>
        <item x="28"/>
        <item x="18"/>
        <item x="51"/>
        <item x="5"/>
        <item x="26"/>
        <item x="11"/>
        <item x="6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1"/>
  </rowFields>
  <rowItems count="62">
    <i>
      <x v="60"/>
    </i>
    <i>
      <x v="25"/>
    </i>
    <i>
      <x v="17"/>
    </i>
    <i>
      <x v="49"/>
    </i>
    <i>
      <x v="37"/>
    </i>
    <i>
      <x v="3"/>
    </i>
    <i>
      <x v="13"/>
    </i>
    <i>
      <x v="1"/>
    </i>
    <i>
      <x v="38"/>
    </i>
    <i>
      <x v="31"/>
    </i>
    <i>
      <x v="34"/>
    </i>
    <i>
      <x v="46"/>
    </i>
    <i>
      <x v="12"/>
    </i>
    <i>
      <x v="44"/>
    </i>
    <i>
      <x v="5"/>
    </i>
    <i>
      <x v="56"/>
    </i>
    <i>
      <x v="50"/>
    </i>
    <i>
      <x v="39"/>
    </i>
    <i>
      <x v="36"/>
    </i>
    <i>
      <x v="58"/>
    </i>
    <i>
      <x v="28"/>
    </i>
    <i>
      <x v="53"/>
    </i>
    <i>
      <x v="20"/>
    </i>
    <i>
      <x v="4"/>
    </i>
    <i>
      <x v="7"/>
    </i>
    <i>
      <x v="8"/>
    </i>
    <i>
      <x v="51"/>
    </i>
    <i>
      <x v="32"/>
    </i>
    <i>
      <x v="30"/>
    </i>
    <i>
      <x v="14"/>
    </i>
    <i>
      <x v="42"/>
    </i>
    <i>
      <x v="55"/>
    </i>
    <i>
      <x v="24"/>
    </i>
    <i>
      <x/>
    </i>
    <i>
      <x v="33"/>
    </i>
    <i>
      <x v="22"/>
    </i>
    <i>
      <x v="23"/>
    </i>
    <i>
      <x v="11"/>
    </i>
    <i>
      <x v="27"/>
    </i>
    <i>
      <x v="10"/>
    </i>
    <i>
      <x v="54"/>
    </i>
    <i>
      <x v="59"/>
    </i>
    <i>
      <x v="26"/>
    </i>
    <i>
      <x v="35"/>
    </i>
    <i>
      <x v="21"/>
    </i>
    <i>
      <x v="19"/>
    </i>
    <i>
      <x v="16"/>
    </i>
    <i>
      <x v="41"/>
    </i>
    <i>
      <x v="18"/>
    </i>
    <i>
      <x v="48"/>
    </i>
    <i>
      <x v="47"/>
    </i>
    <i>
      <x v="40"/>
    </i>
    <i>
      <x v="43"/>
    </i>
    <i>
      <x v="52"/>
    </i>
    <i>
      <x v="45"/>
    </i>
    <i>
      <x v="57"/>
    </i>
    <i>
      <x v="29"/>
    </i>
    <i>
      <x v="2"/>
    </i>
    <i>
      <x v="15"/>
    </i>
    <i>
      <x v="9"/>
    </i>
    <i>
      <x v="6"/>
    </i>
    <i t="grand">
      <x/>
    </i>
  </rowItems>
  <colItems count="1">
    <i/>
  </colItems>
  <dataFields count="1">
    <dataField name="求和项:high_cust_num" fld="2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6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5"/>
  <sheetViews>
    <sheetView tabSelected="1" zoomScale="71" zoomScaleNormal="115" workbookViewId="0">
      <selection activeCell="M5" sqref="M4:M5"/>
    </sheetView>
  </sheetViews>
  <sheetFormatPr defaultRowHeight="14.5" x14ac:dyDescent="0.35"/>
  <cols>
    <col min="2" max="2" width="9.7265625" customWidth="1"/>
    <col min="3" max="3" width="13.26953125" customWidth="1"/>
    <col min="8" max="8" width="13" customWidth="1"/>
    <col min="9" max="9" width="9.54296875" bestFit="1" customWidth="1"/>
    <col min="10" max="10" width="19.7265625" customWidth="1"/>
    <col min="13" max="13" width="11.6328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3" ht="15" x14ac:dyDescent="0.35">
      <c r="A2" t="s">
        <v>6</v>
      </c>
      <c r="B2" t="s">
        <v>7</v>
      </c>
      <c r="C2">
        <v>159</v>
      </c>
      <c r="D2">
        <v>257.56</v>
      </c>
      <c r="E2">
        <v>7.44</v>
      </c>
      <c r="F2">
        <v>74923.31</v>
      </c>
      <c r="I2" t="s">
        <v>6</v>
      </c>
      <c r="J2" t="s">
        <v>8</v>
      </c>
      <c r="K2" t="s">
        <v>10</v>
      </c>
      <c r="L2" t="s">
        <v>14</v>
      </c>
      <c r="M2" s="3" t="s">
        <v>73</v>
      </c>
    </row>
    <row r="3" spans="1:13" x14ac:dyDescent="0.35">
      <c r="A3" t="s">
        <v>8</v>
      </c>
      <c r="B3" t="s">
        <v>9</v>
      </c>
      <c r="C3">
        <v>148</v>
      </c>
      <c r="D3">
        <v>223.83</v>
      </c>
      <c r="E3">
        <v>7.53</v>
      </c>
      <c r="F3">
        <v>77235.7</v>
      </c>
      <c r="H3" t="s">
        <v>2</v>
      </c>
      <c r="I3">
        <f>SUMIF(A:A,"Pune",C:C)</f>
        <v>7135</v>
      </c>
      <c r="J3">
        <f>SUMIF(A:A,"Bangalore",C:C)</f>
        <v>7055</v>
      </c>
      <c r="K3">
        <f>SUMIF(A:A,"Delhi",C:C)</f>
        <v>7052</v>
      </c>
      <c r="L3">
        <f>SUMIF(A:A,"Mumbai",C:C)</f>
        <v>7288</v>
      </c>
      <c r="M3">
        <f>SUM(C:C)</f>
        <v>28530</v>
      </c>
    </row>
    <row r="4" spans="1:13" x14ac:dyDescent="0.35">
      <c r="A4" t="s">
        <v>10</v>
      </c>
      <c r="B4" t="s">
        <v>11</v>
      </c>
      <c r="C4">
        <v>146</v>
      </c>
      <c r="D4">
        <v>259.33999999999997</v>
      </c>
      <c r="E4">
        <v>7.31</v>
      </c>
      <c r="F4">
        <v>71050.12</v>
      </c>
      <c r="H4" t="s">
        <v>5</v>
      </c>
      <c r="I4">
        <f>SUMIF(A:A,"Pune",F:F)</f>
        <v>4541916.3199999994</v>
      </c>
      <c r="J4">
        <f>SUMIF(A:A,"Bangalore",F:F)</f>
        <v>4537255.3699999992</v>
      </c>
      <c r="K4">
        <f>SUMIF(A:A,"Delhi",F:F)</f>
        <v>4516181.5999999978</v>
      </c>
      <c r="L4">
        <f>SUMIF(A:A,"Mumbai",F:F)</f>
        <v>4555270.47</v>
      </c>
      <c r="M4">
        <f>SUM(F:F)</f>
        <v>18150623.760000002</v>
      </c>
    </row>
    <row r="5" spans="1:13" x14ac:dyDescent="0.35">
      <c r="A5" t="s">
        <v>8</v>
      </c>
      <c r="B5" t="s">
        <v>12</v>
      </c>
      <c r="C5">
        <v>145</v>
      </c>
      <c r="D5">
        <v>235.05</v>
      </c>
      <c r="E5">
        <v>7.22</v>
      </c>
      <c r="F5">
        <v>74819</v>
      </c>
    </row>
    <row r="6" spans="1:13" x14ac:dyDescent="0.35">
      <c r="A6" t="s">
        <v>8</v>
      </c>
      <c r="B6" t="s">
        <v>13</v>
      </c>
      <c r="C6">
        <v>144</v>
      </c>
      <c r="D6">
        <v>219.35</v>
      </c>
      <c r="E6">
        <v>7.37</v>
      </c>
      <c r="F6">
        <v>74722.75</v>
      </c>
    </row>
    <row r="7" spans="1:13" x14ac:dyDescent="0.35">
      <c r="A7" t="s">
        <v>14</v>
      </c>
      <c r="B7" t="s">
        <v>15</v>
      </c>
      <c r="C7">
        <v>143</v>
      </c>
      <c r="D7">
        <v>236.28</v>
      </c>
      <c r="E7">
        <v>7.4</v>
      </c>
      <c r="F7">
        <v>77074.080000000002</v>
      </c>
    </row>
    <row r="8" spans="1:13" x14ac:dyDescent="0.35">
      <c r="A8" t="s">
        <v>14</v>
      </c>
      <c r="B8" t="s">
        <v>16</v>
      </c>
      <c r="C8">
        <v>142</v>
      </c>
      <c r="D8">
        <v>243.87</v>
      </c>
      <c r="E8">
        <v>7.37</v>
      </c>
      <c r="F8">
        <v>73758.2</v>
      </c>
    </row>
    <row r="9" spans="1:13" x14ac:dyDescent="0.35">
      <c r="A9" t="s">
        <v>14</v>
      </c>
      <c r="B9" t="s">
        <v>17</v>
      </c>
      <c r="C9">
        <v>142</v>
      </c>
      <c r="D9">
        <v>215.8</v>
      </c>
      <c r="E9">
        <v>7.42</v>
      </c>
      <c r="F9">
        <v>74603.94</v>
      </c>
    </row>
    <row r="10" spans="1:13" x14ac:dyDescent="0.35">
      <c r="A10" t="s">
        <v>10</v>
      </c>
      <c r="B10" t="s">
        <v>16</v>
      </c>
      <c r="C10">
        <v>141</v>
      </c>
      <c r="D10">
        <v>233.33</v>
      </c>
      <c r="E10">
        <v>7.39</v>
      </c>
      <c r="F10">
        <v>74469.33</v>
      </c>
    </row>
    <row r="11" spans="1:13" x14ac:dyDescent="0.35">
      <c r="A11" t="s">
        <v>10</v>
      </c>
      <c r="B11" t="s">
        <v>18</v>
      </c>
      <c r="C11">
        <v>140</v>
      </c>
      <c r="D11">
        <v>204.43</v>
      </c>
      <c r="E11">
        <v>7.53</v>
      </c>
      <c r="F11">
        <v>76743.14</v>
      </c>
    </row>
    <row r="12" spans="1:13" x14ac:dyDescent="0.35">
      <c r="A12" t="s">
        <v>14</v>
      </c>
      <c r="B12" t="s">
        <v>19</v>
      </c>
      <c r="C12">
        <v>140</v>
      </c>
      <c r="D12">
        <v>244.21</v>
      </c>
      <c r="E12">
        <v>7.52</v>
      </c>
      <c r="F12">
        <v>76449.27</v>
      </c>
    </row>
    <row r="13" spans="1:13" x14ac:dyDescent="0.35">
      <c r="A13" t="s">
        <v>14</v>
      </c>
      <c r="B13" t="s">
        <v>20</v>
      </c>
      <c r="C13">
        <v>140</v>
      </c>
      <c r="D13">
        <v>253.22</v>
      </c>
      <c r="E13">
        <v>7.23</v>
      </c>
      <c r="F13">
        <v>69622.539999999994</v>
      </c>
    </row>
    <row r="14" spans="1:13" x14ac:dyDescent="0.35">
      <c r="A14" t="s">
        <v>14</v>
      </c>
      <c r="B14" t="s">
        <v>21</v>
      </c>
      <c r="C14">
        <v>140</v>
      </c>
      <c r="D14">
        <v>264.20999999999998</v>
      </c>
      <c r="E14">
        <v>7.27</v>
      </c>
      <c r="F14">
        <v>72029.740000000005</v>
      </c>
    </row>
    <row r="15" spans="1:13" x14ac:dyDescent="0.35">
      <c r="A15" t="s">
        <v>6</v>
      </c>
      <c r="B15" t="s">
        <v>11</v>
      </c>
      <c r="C15">
        <v>140</v>
      </c>
      <c r="D15">
        <v>228.29</v>
      </c>
      <c r="E15">
        <v>7.25</v>
      </c>
      <c r="F15">
        <v>72738.490000000005</v>
      </c>
    </row>
    <row r="16" spans="1:13" x14ac:dyDescent="0.35">
      <c r="A16" t="s">
        <v>8</v>
      </c>
      <c r="B16" t="s">
        <v>22</v>
      </c>
      <c r="C16">
        <v>138</v>
      </c>
      <c r="D16">
        <v>235.03</v>
      </c>
      <c r="E16">
        <v>7.27</v>
      </c>
      <c r="F16">
        <v>71779.83</v>
      </c>
    </row>
    <row r="17" spans="1:10" x14ac:dyDescent="0.35">
      <c r="A17" t="s">
        <v>14</v>
      </c>
      <c r="B17" t="s">
        <v>23</v>
      </c>
      <c r="C17">
        <v>138</v>
      </c>
      <c r="D17">
        <v>221.69</v>
      </c>
      <c r="E17">
        <v>7.43</v>
      </c>
      <c r="F17">
        <v>77693.14</v>
      </c>
    </row>
    <row r="18" spans="1:10" x14ac:dyDescent="0.35">
      <c r="A18" t="s">
        <v>8</v>
      </c>
      <c r="B18" t="s">
        <v>24</v>
      </c>
      <c r="C18">
        <v>136</v>
      </c>
      <c r="D18">
        <v>244.59</v>
      </c>
      <c r="E18">
        <v>7.52</v>
      </c>
      <c r="F18">
        <v>75661.740000000005</v>
      </c>
    </row>
    <row r="19" spans="1:10" x14ac:dyDescent="0.35">
      <c r="A19" t="s">
        <v>10</v>
      </c>
      <c r="B19" t="s">
        <v>25</v>
      </c>
      <c r="C19">
        <v>136</v>
      </c>
      <c r="D19">
        <v>239.08</v>
      </c>
      <c r="E19">
        <v>7.54</v>
      </c>
      <c r="F19">
        <v>76475.67</v>
      </c>
    </row>
    <row r="20" spans="1:10" x14ac:dyDescent="0.35">
      <c r="A20" t="s">
        <v>14</v>
      </c>
      <c r="B20" t="s">
        <v>26</v>
      </c>
      <c r="C20">
        <v>136</v>
      </c>
      <c r="D20">
        <v>225.1</v>
      </c>
      <c r="E20">
        <v>7.54</v>
      </c>
      <c r="F20">
        <v>75014.41</v>
      </c>
    </row>
    <row r="21" spans="1:10" x14ac:dyDescent="0.35">
      <c r="A21" t="s">
        <v>8</v>
      </c>
      <c r="B21" t="s">
        <v>27</v>
      </c>
      <c r="C21">
        <v>134</v>
      </c>
      <c r="D21">
        <v>244.95</v>
      </c>
      <c r="E21">
        <v>7.01</v>
      </c>
      <c r="F21">
        <v>69950.19</v>
      </c>
      <c r="I21" s="1" t="s">
        <v>71</v>
      </c>
      <c r="J21" t="s">
        <v>74</v>
      </c>
    </row>
    <row r="22" spans="1:10" x14ac:dyDescent="0.35">
      <c r="A22" t="s">
        <v>14</v>
      </c>
      <c r="B22" t="s">
        <v>12</v>
      </c>
      <c r="C22">
        <v>134</v>
      </c>
      <c r="D22">
        <v>251.05</v>
      </c>
      <c r="E22">
        <v>7.4</v>
      </c>
      <c r="F22">
        <v>75398.11</v>
      </c>
      <c r="I22" s="2" t="s">
        <v>70</v>
      </c>
      <c r="J22">
        <v>16</v>
      </c>
    </row>
    <row r="23" spans="1:10" x14ac:dyDescent="0.35">
      <c r="A23" t="s">
        <v>14</v>
      </c>
      <c r="B23" t="s">
        <v>28</v>
      </c>
      <c r="C23">
        <v>134</v>
      </c>
      <c r="D23">
        <v>232.42</v>
      </c>
      <c r="E23">
        <v>7.39</v>
      </c>
      <c r="F23">
        <v>74752.72</v>
      </c>
      <c r="I23" s="2" t="s">
        <v>68</v>
      </c>
      <c r="J23">
        <v>424</v>
      </c>
    </row>
    <row r="24" spans="1:10" x14ac:dyDescent="0.35">
      <c r="A24" t="s">
        <v>10</v>
      </c>
      <c r="B24" t="s">
        <v>29</v>
      </c>
      <c r="C24">
        <v>133</v>
      </c>
      <c r="D24">
        <v>211.87</v>
      </c>
      <c r="E24">
        <v>7.62</v>
      </c>
      <c r="F24">
        <v>75576.77</v>
      </c>
      <c r="I24" s="2" t="s">
        <v>62</v>
      </c>
      <c r="J24">
        <v>426</v>
      </c>
    </row>
    <row r="25" spans="1:10" x14ac:dyDescent="0.35">
      <c r="A25" t="s">
        <v>6</v>
      </c>
      <c r="B25" t="s">
        <v>22</v>
      </c>
      <c r="C25">
        <v>133</v>
      </c>
      <c r="D25">
        <v>231.13</v>
      </c>
      <c r="E25">
        <v>7.33</v>
      </c>
      <c r="F25">
        <v>71965.289999999994</v>
      </c>
      <c r="I25" s="2" t="s">
        <v>63</v>
      </c>
      <c r="J25">
        <v>426</v>
      </c>
    </row>
    <row r="26" spans="1:10" x14ac:dyDescent="0.35">
      <c r="A26" t="s">
        <v>6</v>
      </c>
      <c r="B26" t="s">
        <v>30</v>
      </c>
      <c r="C26">
        <v>133</v>
      </c>
      <c r="D26">
        <v>231.8</v>
      </c>
      <c r="E26">
        <v>7.48</v>
      </c>
      <c r="F26">
        <v>77063.14</v>
      </c>
      <c r="I26" s="2" t="s">
        <v>69</v>
      </c>
      <c r="J26">
        <v>427</v>
      </c>
    </row>
    <row r="27" spans="1:10" x14ac:dyDescent="0.35">
      <c r="A27" t="s">
        <v>8</v>
      </c>
      <c r="B27" t="s">
        <v>31</v>
      </c>
      <c r="C27">
        <v>131</v>
      </c>
      <c r="D27">
        <v>236.86</v>
      </c>
      <c r="E27">
        <v>7.5</v>
      </c>
      <c r="F27">
        <v>74684.33</v>
      </c>
      <c r="I27" s="2" t="s">
        <v>57</v>
      </c>
      <c r="J27">
        <v>433</v>
      </c>
    </row>
    <row r="28" spans="1:10" x14ac:dyDescent="0.35">
      <c r="A28" t="s">
        <v>10</v>
      </c>
      <c r="B28" t="s">
        <v>32</v>
      </c>
      <c r="C28">
        <v>131</v>
      </c>
      <c r="D28">
        <v>216.48</v>
      </c>
      <c r="E28">
        <v>7.03</v>
      </c>
      <c r="F28">
        <v>68222.990000000005</v>
      </c>
      <c r="I28" s="2" t="s">
        <v>44</v>
      </c>
      <c r="J28">
        <v>440</v>
      </c>
    </row>
    <row r="29" spans="1:10" x14ac:dyDescent="0.35">
      <c r="A29" t="s">
        <v>10</v>
      </c>
      <c r="B29" t="s">
        <v>21</v>
      </c>
      <c r="C29">
        <v>131</v>
      </c>
      <c r="D29">
        <v>254.37</v>
      </c>
      <c r="E29">
        <v>7.46</v>
      </c>
      <c r="F29">
        <v>77426.66</v>
      </c>
      <c r="I29" s="2" t="s">
        <v>24</v>
      </c>
      <c r="J29">
        <v>446</v>
      </c>
    </row>
    <row r="30" spans="1:10" x14ac:dyDescent="0.35">
      <c r="A30" t="s">
        <v>14</v>
      </c>
      <c r="B30" t="s">
        <v>33</v>
      </c>
      <c r="C30">
        <v>131</v>
      </c>
      <c r="D30">
        <v>253.06</v>
      </c>
      <c r="E30">
        <v>7.2</v>
      </c>
      <c r="F30">
        <v>72382.12</v>
      </c>
      <c r="I30" s="2" t="s">
        <v>56</v>
      </c>
      <c r="J30">
        <v>447</v>
      </c>
    </row>
    <row r="31" spans="1:10" x14ac:dyDescent="0.35">
      <c r="A31" t="s">
        <v>14</v>
      </c>
      <c r="B31" t="s">
        <v>34</v>
      </c>
      <c r="C31">
        <v>131</v>
      </c>
      <c r="D31">
        <v>264.94</v>
      </c>
      <c r="E31">
        <v>7.24</v>
      </c>
      <c r="F31">
        <v>73086</v>
      </c>
      <c r="I31" s="2" t="s">
        <v>65</v>
      </c>
      <c r="J31">
        <v>448</v>
      </c>
    </row>
    <row r="32" spans="1:10" x14ac:dyDescent="0.35">
      <c r="A32" t="s">
        <v>6</v>
      </c>
      <c r="B32" t="s">
        <v>13</v>
      </c>
      <c r="C32">
        <v>131</v>
      </c>
      <c r="D32">
        <v>217.6</v>
      </c>
      <c r="E32">
        <v>7.47</v>
      </c>
      <c r="F32">
        <v>75146.28</v>
      </c>
      <c r="I32" s="2" t="s">
        <v>60</v>
      </c>
      <c r="J32">
        <v>449</v>
      </c>
    </row>
    <row r="33" spans="1:10" x14ac:dyDescent="0.35">
      <c r="A33" t="s">
        <v>8</v>
      </c>
      <c r="B33" t="s">
        <v>35</v>
      </c>
      <c r="C33">
        <v>130</v>
      </c>
      <c r="D33">
        <v>243.63</v>
      </c>
      <c r="E33">
        <v>7.75</v>
      </c>
      <c r="F33">
        <v>77143.12</v>
      </c>
      <c r="I33" s="2" t="s">
        <v>66</v>
      </c>
      <c r="J33">
        <v>451</v>
      </c>
    </row>
    <row r="34" spans="1:10" x14ac:dyDescent="0.35">
      <c r="A34" t="s">
        <v>8</v>
      </c>
      <c r="B34" t="s">
        <v>30</v>
      </c>
      <c r="C34">
        <v>130</v>
      </c>
      <c r="D34">
        <v>235.74</v>
      </c>
      <c r="E34">
        <v>7.46</v>
      </c>
      <c r="F34">
        <v>74415.64</v>
      </c>
      <c r="I34" s="2" t="s">
        <v>67</v>
      </c>
      <c r="J34">
        <v>452</v>
      </c>
    </row>
    <row r="35" spans="1:10" x14ac:dyDescent="0.35">
      <c r="A35" t="s">
        <v>8</v>
      </c>
      <c r="B35" t="s">
        <v>36</v>
      </c>
      <c r="C35">
        <v>130</v>
      </c>
      <c r="D35">
        <v>230.51</v>
      </c>
      <c r="E35">
        <v>7.5</v>
      </c>
      <c r="F35">
        <v>74500.52</v>
      </c>
      <c r="I35" s="2" t="s">
        <v>49</v>
      </c>
      <c r="J35">
        <v>454</v>
      </c>
    </row>
    <row r="36" spans="1:10" x14ac:dyDescent="0.35">
      <c r="A36" t="s">
        <v>14</v>
      </c>
      <c r="B36" t="s">
        <v>37</v>
      </c>
      <c r="C36">
        <v>130</v>
      </c>
      <c r="D36">
        <v>227.47</v>
      </c>
      <c r="E36">
        <v>7.16</v>
      </c>
      <c r="F36">
        <v>74138.78</v>
      </c>
      <c r="I36" s="2" t="s">
        <v>42</v>
      </c>
      <c r="J36">
        <v>454</v>
      </c>
    </row>
    <row r="37" spans="1:10" x14ac:dyDescent="0.35">
      <c r="A37" t="s">
        <v>14</v>
      </c>
      <c r="B37" t="s">
        <v>38</v>
      </c>
      <c r="C37">
        <v>130</v>
      </c>
      <c r="D37">
        <v>220.04</v>
      </c>
      <c r="E37">
        <v>7.68</v>
      </c>
      <c r="F37">
        <v>77040.84</v>
      </c>
      <c r="I37" s="2" t="s">
        <v>61</v>
      </c>
      <c r="J37">
        <v>454</v>
      </c>
    </row>
    <row r="38" spans="1:10" x14ac:dyDescent="0.35">
      <c r="A38" t="s">
        <v>6</v>
      </c>
      <c r="B38" t="s">
        <v>39</v>
      </c>
      <c r="C38">
        <v>130</v>
      </c>
      <c r="D38">
        <v>213.41</v>
      </c>
      <c r="E38">
        <v>7.44</v>
      </c>
      <c r="F38">
        <v>73455.16</v>
      </c>
      <c r="I38" s="2" t="s">
        <v>34</v>
      </c>
      <c r="J38">
        <v>454</v>
      </c>
    </row>
    <row r="39" spans="1:10" x14ac:dyDescent="0.35">
      <c r="A39" t="s">
        <v>6</v>
      </c>
      <c r="B39" t="s">
        <v>12</v>
      </c>
      <c r="C39">
        <v>130</v>
      </c>
      <c r="D39">
        <v>244.07</v>
      </c>
      <c r="E39">
        <v>7.13</v>
      </c>
      <c r="F39">
        <v>72744.55</v>
      </c>
      <c r="I39" s="2" t="s">
        <v>59</v>
      </c>
      <c r="J39">
        <v>456</v>
      </c>
    </row>
    <row r="40" spans="1:10" x14ac:dyDescent="0.35">
      <c r="A40" t="s">
        <v>6</v>
      </c>
      <c r="B40" t="s">
        <v>40</v>
      </c>
      <c r="C40">
        <v>130</v>
      </c>
      <c r="D40">
        <v>231.92</v>
      </c>
      <c r="E40">
        <v>7.67</v>
      </c>
      <c r="F40">
        <v>77575.149999999994</v>
      </c>
      <c r="I40" s="2" t="s">
        <v>32</v>
      </c>
      <c r="J40">
        <v>459</v>
      </c>
    </row>
    <row r="41" spans="1:10" x14ac:dyDescent="0.35">
      <c r="A41" t="s">
        <v>10</v>
      </c>
      <c r="B41" t="s">
        <v>41</v>
      </c>
      <c r="C41">
        <v>129</v>
      </c>
      <c r="D41">
        <v>232.57</v>
      </c>
      <c r="E41">
        <v>7.43</v>
      </c>
      <c r="F41">
        <v>74122.17</v>
      </c>
      <c r="I41" s="2" t="s">
        <v>36</v>
      </c>
      <c r="J41">
        <v>465</v>
      </c>
    </row>
    <row r="42" spans="1:10" x14ac:dyDescent="0.35">
      <c r="A42" t="s">
        <v>6</v>
      </c>
      <c r="B42" t="s">
        <v>41</v>
      </c>
      <c r="C42">
        <v>129</v>
      </c>
      <c r="D42">
        <v>253.63</v>
      </c>
      <c r="E42">
        <v>7.54</v>
      </c>
      <c r="F42">
        <v>77222.02</v>
      </c>
      <c r="I42" s="2" t="s">
        <v>43</v>
      </c>
      <c r="J42">
        <v>465</v>
      </c>
    </row>
    <row r="43" spans="1:10" x14ac:dyDescent="0.35">
      <c r="A43" t="s">
        <v>10</v>
      </c>
      <c r="B43" t="s">
        <v>38</v>
      </c>
      <c r="C43">
        <v>128</v>
      </c>
      <c r="D43">
        <v>231.55</v>
      </c>
      <c r="E43">
        <v>7.35</v>
      </c>
      <c r="F43">
        <v>73824.95</v>
      </c>
      <c r="I43" s="2" t="s">
        <v>51</v>
      </c>
      <c r="J43">
        <v>466</v>
      </c>
    </row>
    <row r="44" spans="1:10" x14ac:dyDescent="0.35">
      <c r="A44" t="s">
        <v>10</v>
      </c>
      <c r="B44" t="s">
        <v>36</v>
      </c>
      <c r="C44">
        <v>128</v>
      </c>
      <c r="D44">
        <v>229.69</v>
      </c>
      <c r="E44">
        <v>7.12</v>
      </c>
      <c r="F44">
        <v>71674.710000000006</v>
      </c>
      <c r="I44" s="2" t="s">
        <v>64</v>
      </c>
      <c r="J44">
        <v>466</v>
      </c>
    </row>
    <row r="45" spans="1:10" x14ac:dyDescent="0.35">
      <c r="A45" t="s">
        <v>14</v>
      </c>
      <c r="B45" t="s">
        <v>42</v>
      </c>
      <c r="C45">
        <v>128</v>
      </c>
      <c r="D45">
        <v>228.15</v>
      </c>
      <c r="E45">
        <v>7.14</v>
      </c>
      <c r="F45">
        <v>73417.64</v>
      </c>
      <c r="I45" s="2" t="s">
        <v>39</v>
      </c>
      <c r="J45">
        <v>467</v>
      </c>
    </row>
    <row r="46" spans="1:10" x14ac:dyDescent="0.35">
      <c r="A46" t="s">
        <v>14</v>
      </c>
      <c r="B46" t="s">
        <v>40</v>
      </c>
      <c r="C46">
        <v>128</v>
      </c>
      <c r="D46">
        <v>234.89</v>
      </c>
      <c r="E46">
        <v>7.31</v>
      </c>
      <c r="F46">
        <v>73519.81</v>
      </c>
      <c r="I46" s="2" t="s">
        <v>33</v>
      </c>
      <c r="J46">
        <v>467</v>
      </c>
    </row>
    <row r="47" spans="1:10" x14ac:dyDescent="0.35">
      <c r="A47" t="s">
        <v>6</v>
      </c>
      <c r="B47" t="s">
        <v>43</v>
      </c>
      <c r="C47">
        <v>128</v>
      </c>
      <c r="D47">
        <v>197.49</v>
      </c>
      <c r="E47">
        <v>7.93</v>
      </c>
      <c r="F47">
        <v>80263.98</v>
      </c>
      <c r="I47" s="2" t="s">
        <v>47</v>
      </c>
      <c r="J47">
        <v>468</v>
      </c>
    </row>
    <row r="48" spans="1:10" x14ac:dyDescent="0.35">
      <c r="A48" t="s">
        <v>8</v>
      </c>
      <c r="B48" t="s">
        <v>44</v>
      </c>
      <c r="C48">
        <v>127</v>
      </c>
      <c r="D48">
        <v>235.04</v>
      </c>
      <c r="E48">
        <v>7.28</v>
      </c>
      <c r="F48">
        <v>71006.929999999993</v>
      </c>
      <c r="I48" s="2" t="s">
        <v>37</v>
      </c>
      <c r="J48">
        <v>473</v>
      </c>
    </row>
    <row r="49" spans="1:10" x14ac:dyDescent="0.35">
      <c r="A49" t="s">
        <v>8</v>
      </c>
      <c r="B49" t="s">
        <v>45</v>
      </c>
      <c r="C49">
        <v>127</v>
      </c>
      <c r="D49">
        <v>241.41</v>
      </c>
      <c r="E49">
        <v>7.17</v>
      </c>
      <c r="F49">
        <v>72290.94</v>
      </c>
      <c r="I49" s="2" t="s">
        <v>58</v>
      </c>
      <c r="J49">
        <v>474</v>
      </c>
    </row>
    <row r="50" spans="1:10" x14ac:dyDescent="0.35">
      <c r="A50" t="s">
        <v>10</v>
      </c>
      <c r="B50" t="s">
        <v>46</v>
      </c>
      <c r="C50">
        <v>127</v>
      </c>
      <c r="D50">
        <v>257.75</v>
      </c>
      <c r="E50">
        <v>7.46</v>
      </c>
      <c r="F50">
        <v>76053.39</v>
      </c>
      <c r="I50" s="2" t="s">
        <v>26</v>
      </c>
      <c r="J50">
        <v>475</v>
      </c>
    </row>
    <row r="51" spans="1:10" x14ac:dyDescent="0.35">
      <c r="A51" t="s">
        <v>10</v>
      </c>
      <c r="B51" t="s">
        <v>20</v>
      </c>
      <c r="C51">
        <v>127</v>
      </c>
      <c r="D51">
        <v>200.28</v>
      </c>
      <c r="E51">
        <v>7.17</v>
      </c>
      <c r="F51">
        <v>71418.14</v>
      </c>
      <c r="I51" s="2" t="s">
        <v>52</v>
      </c>
      <c r="J51">
        <v>475</v>
      </c>
    </row>
    <row r="52" spans="1:10" x14ac:dyDescent="0.35">
      <c r="A52" t="s">
        <v>14</v>
      </c>
      <c r="B52" t="s">
        <v>7</v>
      </c>
      <c r="C52">
        <v>127</v>
      </c>
      <c r="D52">
        <v>266.17</v>
      </c>
      <c r="E52">
        <v>7.55</v>
      </c>
      <c r="F52">
        <v>76421.240000000005</v>
      </c>
      <c r="I52" s="2" t="s">
        <v>17</v>
      </c>
      <c r="J52">
        <v>476</v>
      </c>
    </row>
    <row r="53" spans="1:10" x14ac:dyDescent="0.35">
      <c r="A53" t="s">
        <v>14</v>
      </c>
      <c r="B53" t="s">
        <v>47</v>
      </c>
      <c r="C53">
        <v>127</v>
      </c>
      <c r="D53">
        <v>224.72</v>
      </c>
      <c r="E53">
        <v>7.35</v>
      </c>
      <c r="F53">
        <v>74464.42</v>
      </c>
      <c r="I53" s="2" t="s">
        <v>28</v>
      </c>
      <c r="J53">
        <v>477</v>
      </c>
    </row>
    <row r="54" spans="1:10" x14ac:dyDescent="0.35">
      <c r="A54" t="s">
        <v>14</v>
      </c>
      <c r="B54" t="s">
        <v>48</v>
      </c>
      <c r="C54">
        <v>127</v>
      </c>
      <c r="D54">
        <v>224.1</v>
      </c>
      <c r="E54">
        <v>7.82</v>
      </c>
      <c r="F54">
        <v>78483.95</v>
      </c>
      <c r="I54" s="2" t="s">
        <v>55</v>
      </c>
      <c r="J54">
        <v>477</v>
      </c>
    </row>
    <row r="55" spans="1:10" x14ac:dyDescent="0.35">
      <c r="A55" t="s">
        <v>6</v>
      </c>
      <c r="B55" t="s">
        <v>48</v>
      </c>
      <c r="C55">
        <v>127</v>
      </c>
      <c r="D55">
        <v>238.37</v>
      </c>
      <c r="E55">
        <v>7.36</v>
      </c>
      <c r="F55">
        <v>74992.77</v>
      </c>
      <c r="I55" s="2" t="s">
        <v>9</v>
      </c>
      <c r="J55">
        <v>477</v>
      </c>
    </row>
    <row r="56" spans="1:10" x14ac:dyDescent="0.35">
      <c r="A56" t="s">
        <v>6</v>
      </c>
      <c r="B56" t="s">
        <v>35</v>
      </c>
      <c r="C56">
        <v>127</v>
      </c>
      <c r="D56">
        <v>207.08</v>
      </c>
      <c r="E56">
        <v>7.46</v>
      </c>
      <c r="F56">
        <v>74296.11</v>
      </c>
      <c r="I56" s="2" t="s">
        <v>50</v>
      </c>
      <c r="J56">
        <v>478</v>
      </c>
    </row>
    <row r="57" spans="1:10" x14ac:dyDescent="0.35">
      <c r="A57" t="s">
        <v>6</v>
      </c>
      <c r="B57" t="s">
        <v>45</v>
      </c>
      <c r="C57">
        <v>127</v>
      </c>
      <c r="D57">
        <v>206.38</v>
      </c>
      <c r="E57">
        <v>7.57</v>
      </c>
      <c r="F57">
        <v>76970.19</v>
      </c>
      <c r="I57" s="2" t="s">
        <v>54</v>
      </c>
      <c r="J57">
        <v>480</v>
      </c>
    </row>
    <row r="58" spans="1:10" x14ac:dyDescent="0.35">
      <c r="A58" t="s">
        <v>10</v>
      </c>
      <c r="B58" t="s">
        <v>31</v>
      </c>
      <c r="C58">
        <v>126</v>
      </c>
      <c r="D58">
        <v>211.94</v>
      </c>
      <c r="E58">
        <v>7.59</v>
      </c>
      <c r="F58">
        <v>76165.61</v>
      </c>
      <c r="I58" s="2" t="s">
        <v>35</v>
      </c>
      <c r="J58">
        <v>480</v>
      </c>
    </row>
    <row r="59" spans="1:10" x14ac:dyDescent="0.35">
      <c r="A59" t="s">
        <v>10</v>
      </c>
      <c r="B59" t="s">
        <v>49</v>
      </c>
      <c r="C59">
        <v>126</v>
      </c>
      <c r="D59">
        <v>191.43</v>
      </c>
      <c r="E59">
        <v>7.57</v>
      </c>
      <c r="F59">
        <v>77025.62</v>
      </c>
      <c r="I59" s="2" t="s">
        <v>53</v>
      </c>
      <c r="J59">
        <v>481</v>
      </c>
    </row>
    <row r="60" spans="1:10" x14ac:dyDescent="0.35">
      <c r="A60" t="s">
        <v>10</v>
      </c>
      <c r="B60" t="s">
        <v>40</v>
      </c>
      <c r="C60">
        <v>126</v>
      </c>
      <c r="D60">
        <v>224.49</v>
      </c>
      <c r="E60">
        <v>7.53</v>
      </c>
      <c r="F60">
        <v>77635.820000000007</v>
      </c>
      <c r="I60" s="2" t="s">
        <v>27</v>
      </c>
      <c r="J60">
        <v>481</v>
      </c>
    </row>
    <row r="61" spans="1:10" x14ac:dyDescent="0.35">
      <c r="A61" t="s">
        <v>14</v>
      </c>
      <c r="B61" t="s">
        <v>31</v>
      </c>
      <c r="C61">
        <v>126</v>
      </c>
      <c r="D61">
        <v>255.92</v>
      </c>
      <c r="E61">
        <v>7.42</v>
      </c>
      <c r="F61">
        <v>74218.94</v>
      </c>
      <c r="I61" s="2" t="s">
        <v>23</v>
      </c>
      <c r="J61">
        <v>486</v>
      </c>
    </row>
    <row r="62" spans="1:10" x14ac:dyDescent="0.35">
      <c r="A62" t="s">
        <v>14</v>
      </c>
      <c r="B62" t="s">
        <v>50</v>
      </c>
      <c r="C62">
        <v>126</v>
      </c>
      <c r="D62">
        <v>227.54</v>
      </c>
      <c r="E62">
        <v>7.33</v>
      </c>
      <c r="F62">
        <v>75957.789999999994</v>
      </c>
      <c r="I62" s="2" t="s">
        <v>38</v>
      </c>
      <c r="J62">
        <v>489</v>
      </c>
    </row>
    <row r="63" spans="1:10" x14ac:dyDescent="0.35">
      <c r="A63" t="s">
        <v>14</v>
      </c>
      <c r="B63" t="s">
        <v>25</v>
      </c>
      <c r="C63">
        <v>126</v>
      </c>
      <c r="D63">
        <v>226.5</v>
      </c>
      <c r="E63">
        <v>7.36</v>
      </c>
      <c r="F63">
        <v>73416.960000000006</v>
      </c>
      <c r="I63" s="2" t="s">
        <v>21</v>
      </c>
      <c r="J63">
        <v>491</v>
      </c>
    </row>
    <row r="64" spans="1:10" x14ac:dyDescent="0.35">
      <c r="A64" t="s">
        <v>6</v>
      </c>
      <c r="B64" t="s">
        <v>33</v>
      </c>
      <c r="C64">
        <v>126</v>
      </c>
      <c r="D64">
        <v>280.88</v>
      </c>
      <c r="E64">
        <v>7.12</v>
      </c>
      <c r="F64">
        <v>70359.94</v>
      </c>
      <c r="I64" s="2" t="s">
        <v>46</v>
      </c>
      <c r="J64">
        <v>491</v>
      </c>
    </row>
    <row r="65" spans="1:10" x14ac:dyDescent="0.35">
      <c r="A65" t="s">
        <v>6</v>
      </c>
      <c r="B65" t="s">
        <v>31</v>
      </c>
      <c r="C65">
        <v>126</v>
      </c>
      <c r="D65">
        <v>243.33</v>
      </c>
      <c r="E65">
        <v>7.26</v>
      </c>
      <c r="F65">
        <v>70339.520000000004</v>
      </c>
      <c r="I65" s="2" t="s">
        <v>45</v>
      </c>
      <c r="J65">
        <v>493</v>
      </c>
    </row>
    <row r="66" spans="1:10" x14ac:dyDescent="0.35">
      <c r="A66" t="s">
        <v>6</v>
      </c>
      <c r="B66" t="s">
        <v>29</v>
      </c>
      <c r="C66">
        <v>126</v>
      </c>
      <c r="D66">
        <v>222</v>
      </c>
      <c r="E66">
        <v>7.33</v>
      </c>
      <c r="F66">
        <v>75636.509999999995</v>
      </c>
      <c r="I66" s="2" t="s">
        <v>41</v>
      </c>
      <c r="J66">
        <v>495</v>
      </c>
    </row>
    <row r="67" spans="1:10" x14ac:dyDescent="0.35">
      <c r="A67" t="s">
        <v>6</v>
      </c>
      <c r="B67" t="s">
        <v>51</v>
      </c>
      <c r="C67">
        <v>126</v>
      </c>
      <c r="D67">
        <v>255.89</v>
      </c>
      <c r="E67">
        <v>7.59</v>
      </c>
      <c r="F67">
        <v>77663.12</v>
      </c>
      <c r="I67" s="2" t="s">
        <v>48</v>
      </c>
      <c r="J67">
        <v>497</v>
      </c>
    </row>
    <row r="68" spans="1:10" x14ac:dyDescent="0.35">
      <c r="A68" t="s">
        <v>8</v>
      </c>
      <c r="B68" t="s">
        <v>52</v>
      </c>
      <c r="C68">
        <v>125</v>
      </c>
      <c r="D68">
        <v>206.21</v>
      </c>
      <c r="E68">
        <v>7.66</v>
      </c>
      <c r="F68">
        <v>76956.02</v>
      </c>
      <c r="I68" s="2" t="s">
        <v>22</v>
      </c>
      <c r="J68">
        <v>497</v>
      </c>
    </row>
    <row r="69" spans="1:10" x14ac:dyDescent="0.35">
      <c r="A69" t="s">
        <v>8</v>
      </c>
      <c r="B69" t="s">
        <v>46</v>
      </c>
      <c r="C69">
        <v>125</v>
      </c>
      <c r="D69">
        <v>233.55</v>
      </c>
      <c r="E69">
        <v>7.31</v>
      </c>
      <c r="F69">
        <v>73587.199999999997</v>
      </c>
      <c r="I69" s="2" t="s">
        <v>18</v>
      </c>
      <c r="J69">
        <v>497</v>
      </c>
    </row>
    <row r="70" spans="1:10" x14ac:dyDescent="0.35">
      <c r="A70" t="s">
        <v>10</v>
      </c>
      <c r="B70" t="s">
        <v>53</v>
      </c>
      <c r="C70">
        <v>125</v>
      </c>
      <c r="D70">
        <v>243.49</v>
      </c>
      <c r="E70">
        <v>7.21</v>
      </c>
      <c r="F70">
        <v>72773.259999999995</v>
      </c>
      <c r="I70" s="2" t="s">
        <v>19</v>
      </c>
      <c r="J70">
        <v>499</v>
      </c>
    </row>
    <row r="71" spans="1:10" x14ac:dyDescent="0.35">
      <c r="A71" t="s">
        <v>10</v>
      </c>
      <c r="B71" t="s">
        <v>48</v>
      </c>
      <c r="C71">
        <v>125</v>
      </c>
      <c r="D71">
        <v>210.53</v>
      </c>
      <c r="E71">
        <v>7.56</v>
      </c>
      <c r="F71">
        <v>76972.95</v>
      </c>
      <c r="I71" s="2" t="s">
        <v>29</v>
      </c>
      <c r="J71">
        <v>501</v>
      </c>
    </row>
    <row r="72" spans="1:10" x14ac:dyDescent="0.35">
      <c r="A72" t="s">
        <v>10</v>
      </c>
      <c r="B72" t="s">
        <v>54</v>
      </c>
      <c r="C72">
        <v>125</v>
      </c>
      <c r="D72">
        <v>248.34</v>
      </c>
      <c r="E72">
        <v>7.42</v>
      </c>
      <c r="F72">
        <v>74715.789999999994</v>
      </c>
      <c r="I72" s="2" t="s">
        <v>30</v>
      </c>
      <c r="J72">
        <v>502</v>
      </c>
    </row>
    <row r="73" spans="1:10" x14ac:dyDescent="0.35">
      <c r="A73" t="s">
        <v>10</v>
      </c>
      <c r="B73" t="s">
        <v>55</v>
      </c>
      <c r="C73">
        <v>125</v>
      </c>
      <c r="D73">
        <v>242.56</v>
      </c>
      <c r="E73">
        <v>7.18</v>
      </c>
      <c r="F73">
        <v>73184.73</v>
      </c>
      <c r="I73" s="2" t="s">
        <v>20</v>
      </c>
      <c r="J73">
        <v>504</v>
      </c>
    </row>
    <row r="74" spans="1:10" x14ac:dyDescent="0.35">
      <c r="A74" t="s">
        <v>10</v>
      </c>
      <c r="B74" t="s">
        <v>56</v>
      </c>
      <c r="C74">
        <v>125</v>
      </c>
      <c r="D74">
        <v>209.16</v>
      </c>
      <c r="E74">
        <v>7.69</v>
      </c>
      <c r="F74">
        <v>76593.52</v>
      </c>
      <c r="I74" s="2" t="s">
        <v>13</v>
      </c>
      <c r="J74">
        <v>505</v>
      </c>
    </row>
    <row r="75" spans="1:10" x14ac:dyDescent="0.35">
      <c r="A75" t="s">
        <v>14</v>
      </c>
      <c r="B75" t="s">
        <v>45</v>
      </c>
      <c r="C75">
        <v>125</v>
      </c>
      <c r="D75">
        <v>204.58</v>
      </c>
      <c r="E75">
        <v>7.44</v>
      </c>
      <c r="F75">
        <v>74352.350000000006</v>
      </c>
      <c r="I75" s="2" t="s">
        <v>25</v>
      </c>
      <c r="J75">
        <v>507</v>
      </c>
    </row>
    <row r="76" spans="1:10" x14ac:dyDescent="0.35">
      <c r="A76" t="s">
        <v>6</v>
      </c>
      <c r="B76" t="s">
        <v>57</v>
      </c>
      <c r="C76">
        <v>125</v>
      </c>
      <c r="D76">
        <v>283.17</v>
      </c>
      <c r="E76">
        <v>7.46</v>
      </c>
      <c r="F76">
        <v>75368.62</v>
      </c>
      <c r="I76" s="2" t="s">
        <v>40</v>
      </c>
      <c r="J76">
        <v>507</v>
      </c>
    </row>
    <row r="77" spans="1:10" x14ac:dyDescent="0.35">
      <c r="A77" t="s">
        <v>6</v>
      </c>
      <c r="B77" t="s">
        <v>25</v>
      </c>
      <c r="C77">
        <v>125</v>
      </c>
      <c r="D77">
        <v>251.27</v>
      </c>
      <c r="E77">
        <v>7.56</v>
      </c>
      <c r="F77">
        <v>77185.179999999993</v>
      </c>
      <c r="I77" s="2" t="s">
        <v>15</v>
      </c>
      <c r="J77">
        <v>509</v>
      </c>
    </row>
    <row r="78" spans="1:10" x14ac:dyDescent="0.35">
      <c r="A78" t="s">
        <v>8</v>
      </c>
      <c r="B78" t="s">
        <v>58</v>
      </c>
      <c r="C78">
        <v>124</v>
      </c>
      <c r="D78">
        <v>237.2</v>
      </c>
      <c r="E78">
        <v>7.5</v>
      </c>
      <c r="F78">
        <v>74781.119999999995</v>
      </c>
      <c r="I78" s="2" t="s">
        <v>31</v>
      </c>
      <c r="J78">
        <v>509</v>
      </c>
    </row>
    <row r="79" spans="1:10" x14ac:dyDescent="0.35">
      <c r="A79" t="s">
        <v>8</v>
      </c>
      <c r="B79" t="s">
        <v>38</v>
      </c>
      <c r="C79">
        <v>124</v>
      </c>
      <c r="D79">
        <v>225.38</v>
      </c>
      <c r="E79">
        <v>7.61</v>
      </c>
      <c r="F79">
        <v>76332.06</v>
      </c>
      <c r="I79" s="2" t="s">
        <v>7</v>
      </c>
      <c r="J79">
        <v>511</v>
      </c>
    </row>
    <row r="80" spans="1:10" x14ac:dyDescent="0.35">
      <c r="A80" t="s">
        <v>10</v>
      </c>
      <c r="B80" t="s">
        <v>59</v>
      </c>
      <c r="C80">
        <v>124</v>
      </c>
      <c r="D80">
        <v>255.69</v>
      </c>
      <c r="E80">
        <v>7.26</v>
      </c>
      <c r="F80">
        <v>74803.28</v>
      </c>
      <c r="I80" s="2" t="s">
        <v>16</v>
      </c>
      <c r="J80">
        <v>512</v>
      </c>
    </row>
    <row r="81" spans="1:10" x14ac:dyDescent="0.35">
      <c r="A81" t="s">
        <v>6</v>
      </c>
      <c r="B81" t="s">
        <v>53</v>
      </c>
      <c r="C81">
        <v>124</v>
      </c>
      <c r="D81">
        <v>247.19</v>
      </c>
      <c r="E81">
        <v>7.51</v>
      </c>
      <c r="F81">
        <v>74375.7</v>
      </c>
      <c r="I81" s="2" t="s">
        <v>11</v>
      </c>
      <c r="J81">
        <v>512</v>
      </c>
    </row>
    <row r="82" spans="1:10" x14ac:dyDescent="0.35">
      <c r="A82" t="s">
        <v>6</v>
      </c>
      <c r="B82" t="s">
        <v>60</v>
      </c>
      <c r="C82">
        <v>124</v>
      </c>
      <c r="D82">
        <v>215.12</v>
      </c>
      <c r="E82">
        <v>7.15</v>
      </c>
      <c r="F82">
        <v>72187.839999999997</v>
      </c>
      <c r="I82" s="2" t="s">
        <v>12</v>
      </c>
      <c r="J82">
        <v>532</v>
      </c>
    </row>
    <row r="83" spans="1:10" x14ac:dyDescent="0.35">
      <c r="A83" t="s">
        <v>6</v>
      </c>
      <c r="B83" t="s">
        <v>61</v>
      </c>
      <c r="C83">
        <v>124</v>
      </c>
      <c r="D83">
        <v>228.94</v>
      </c>
      <c r="E83">
        <v>7.5</v>
      </c>
      <c r="F83">
        <v>75241.94</v>
      </c>
      <c r="I83" s="2" t="s">
        <v>72</v>
      </c>
      <c r="J83">
        <v>28530</v>
      </c>
    </row>
    <row r="84" spans="1:10" x14ac:dyDescent="0.35">
      <c r="A84" t="s">
        <v>8</v>
      </c>
      <c r="B84" t="s">
        <v>49</v>
      </c>
      <c r="C84">
        <v>123</v>
      </c>
      <c r="D84">
        <v>239.3</v>
      </c>
      <c r="E84">
        <v>7.48</v>
      </c>
      <c r="F84">
        <v>74546.84</v>
      </c>
    </row>
    <row r="85" spans="1:10" x14ac:dyDescent="0.35">
      <c r="A85" t="s">
        <v>8</v>
      </c>
      <c r="B85" t="s">
        <v>40</v>
      </c>
      <c r="C85">
        <v>123</v>
      </c>
      <c r="D85">
        <v>211.07</v>
      </c>
      <c r="E85">
        <v>7.67</v>
      </c>
      <c r="F85">
        <v>77737.600000000006</v>
      </c>
    </row>
    <row r="86" spans="1:10" x14ac:dyDescent="0.35">
      <c r="A86" t="s">
        <v>8</v>
      </c>
      <c r="B86" t="s">
        <v>15</v>
      </c>
      <c r="C86">
        <v>123</v>
      </c>
      <c r="D86">
        <v>255.74</v>
      </c>
      <c r="E86">
        <v>7.2</v>
      </c>
      <c r="F86">
        <v>74067.28</v>
      </c>
    </row>
    <row r="87" spans="1:10" x14ac:dyDescent="0.35">
      <c r="A87" t="s">
        <v>10</v>
      </c>
      <c r="B87" t="s">
        <v>12</v>
      </c>
      <c r="C87">
        <v>123</v>
      </c>
      <c r="D87">
        <v>241.67</v>
      </c>
      <c r="E87">
        <v>7.52</v>
      </c>
      <c r="F87">
        <v>74412.38</v>
      </c>
    </row>
    <row r="88" spans="1:10" x14ac:dyDescent="0.35">
      <c r="A88" t="s">
        <v>10</v>
      </c>
      <c r="B88" t="s">
        <v>37</v>
      </c>
      <c r="C88">
        <v>123</v>
      </c>
      <c r="D88">
        <v>252.53</v>
      </c>
      <c r="E88">
        <v>7.17</v>
      </c>
      <c r="F88">
        <v>70953.06</v>
      </c>
    </row>
    <row r="89" spans="1:10" x14ac:dyDescent="0.35">
      <c r="A89" t="s">
        <v>8</v>
      </c>
      <c r="B89" t="s">
        <v>18</v>
      </c>
      <c r="C89">
        <v>122</v>
      </c>
      <c r="D89">
        <v>250.53</v>
      </c>
      <c r="E89">
        <v>7.43</v>
      </c>
      <c r="F89">
        <v>74667.03</v>
      </c>
    </row>
    <row r="90" spans="1:10" x14ac:dyDescent="0.35">
      <c r="A90" t="s">
        <v>10</v>
      </c>
      <c r="B90" t="s">
        <v>30</v>
      </c>
      <c r="C90">
        <v>122</v>
      </c>
      <c r="D90">
        <v>235.66</v>
      </c>
      <c r="E90">
        <v>7.28</v>
      </c>
      <c r="F90">
        <v>72834.460000000006</v>
      </c>
    </row>
    <row r="91" spans="1:10" x14ac:dyDescent="0.35">
      <c r="A91" t="s">
        <v>14</v>
      </c>
      <c r="B91" t="s">
        <v>39</v>
      </c>
      <c r="C91">
        <v>122</v>
      </c>
      <c r="D91">
        <v>226.04</v>
      </c>
      <c r="E91">
        <v>7.42</v>
      </c>
      <c r="F91">
        <v>74217.11</v>
      </c>
    </row>
    <row r="92" spans="1:10" x14ac:dyDescent="0.35">
      <c r="A92" t="s">
        <v>14</v>
      </c>
      <c r="B92" t="s">
        <v>53</v>
      </c>
      <c r="C92">
        <v>122</v>
      </c>
      <c r="D92">
        <v>297.2</v>
      </c>
      <c r="E92">
        <v>7.35</v>
      </c>
      <c r="F92">
        <v>73801.31</v>
      </c>
    </row>
    <row r="93" spans="1:10" x14ac:dyDescent="0.35">
      <c r="A93" t="s">
        <v>14</v>
      </c>
      <c r="B93" t="s">
        <v>52</v>
      </c>
      <c r="C93">
        <v>122</v>
      </c>
      <c r="D93">
        <v>251.43</v>
      </c>
      <c r="E93">
        <v>6.79</v>
      </c>
      <c r="F93">
        <v>68344.91</v>
      </c>
    </row>
    <row r="94" spans="1:10" x14ac:dyDescent="0.35">
      <c r="A94" t="s">
        <v>14</v>
      </c>
      <c r="B94" t="s">
        <v>29</v>
      </c>
      <c r="C94">
        <v>122</v>
      </c>
      <c r="D94">
        <v>255.03</v>
      </c>
      <c r="E94">
        <v>7.59</v>
      </c>
      <c r="F94">
        <v>76929.22</v>
      </c>
    </row>
    <row r="95" spans="1:10" x14ac:dyDescent="0.35">
      <c r="A95" t="s">
        <v>6</v>
      </c>
      <c r="B95" t="s">
        <v>15</v>
      </c>
      <c r="C95">
        <v>122</v>
      </c>
      <c r="D95">
        <v>250.34</v>
      </c>
      <c r="E95">
        <v>7.46</v>
      </c>
      <c r="F95">
        <v>75602.22</v>
      </c>
    </row>
    <row r="96" spans="1:10" x14ac:dyDescent="0.35">
      <c r="A96" t="s">
        <v>8</v>
      </c>
      <c r="B96" t="s">
        <v>51</v>
      </c>
      <c r="C96">
        <v>121</v>
      </c>
      <c r="D96">
        <v>268.94</v>
      </c>
      <c r="E96">
        <v>7.54</v>
      </c>
      <c r="F96">
        <v>76541.210000000006</v>
      </c>
    </row>
    <row r="97" spans="1:6" x14ac:dyDescent="0.35">
      <c r="A97" t="s">
        <v>8</v>
      </c>
      <c r="B97" t="s">
        <v>28</v>
      </c>
      <c r="C97">
        <v>121</v>
      </c>
      <c r="D97">
        <v>246.5</v>
      </c>
      <c r="E97">
        <v>7.47</v>
      </c>
      <c r="F97">
        <v>73685.98</v>
      </c>
    </row>
    <row r="98" spans="1:6" x14ac:dyDescent="0.35">
      <c r="A98" t="s">
        <v>10</v>
      </c>
      <c r="B98" t="s">
        <v>62</v>
      </c>
      <c r="C98">
        <v>121</v>
      </c>
      <c r="D98">
        <v>239.54</v>
      </c>
      <c r="E98">
        <v>7.59</v>
      </c>
      <c r="F98">
        <v>79545.759999999995</v>
      </c>
    </row>
    <row r="99" spans="1:6" x14ac:dyDescent="0.35">
      <c r="A99" t="s">
        <v>10</v>
      </c>
      <c r="B99" t="s">
        <v>19</v>
      </c>
      <c r="C99">
        <v>121</v>
      </c>
      <c r="D99">
        <v>237.56</v>
      </c>
      <c r="E99">
        <v>7.64</v>
      </c>
      <c r="F99">
        <v>76759.06</v>
      </c>
    </row>
    <row r="100" spans="1:6" x14ac:dyDescent="0.35">
      <c r="A100" t="s">
        <v>10</v>
      </c>
      <c r="B100" t="s">
        <v>60</v>
      </c>
      <c r="C100">
        <v>121</v>
      </c>
      <c r="D100">
        <v>230.22</v>
      </c>
      <c r="E100">
        <v>7.33</v>
      </c>
      <c r="F100">
        <v>75502.77</v>
      </c>
    </row>
    <row r="101" spans="1:6" x14ac:dyDescent="0.35">
      <c r="A101" t="s">
        <v>10</v>
      </c>
      <c r="B101" t="s">
        <v>13</v>
      </c>
      <c r="C101">
        <v>121</v>
      </c>
      <c r="D101">
        <v>213.54</v>
      </c>
      <c r="E101">
        <v>7.43</v>
      </c>
      <c r="F101">
        <v>74549.87</v>
      </c>
    </row>
    <row r="102" spans="1:6" x14ac:dyDescent="0.35">
      <c r="A102" t="s">
        <v>10</v>
      </c>
      <c r="B102" t="s">
        <v>15</v>
      </c>
      <c r="C102">
        <v>121</v>
      </c>
      <c r="D102">
        <v>263.64</v>
      </c>
      <c r="E102">
        <v>7.38</v>
      </c>
      <c r="F102">
        <v>71053.31</v>
      </c>
    </row>
    <row r="103" spans="1:6" x14ac:dyDescent="0.35">
      <c r="A103" t="s">
        <v>14</v>
      </c>
      <c r="B103" t="s">
        <v>41</v>
      </c>
      <c r="C103">
        <v>121</v>
      </c>
      <c r="D103">
        <v>288.98</v>
      </c>
      <c r="E103">
        <v>7.15</v>
      </c>
      <c r="F103">
        <v>72742.3</v>
      </c>
    </row>
    <row r="104" spans="1:6" x14ac:dyDescent="0.35">
      <c r="A104" t="s">
        <v>14</v>
      </c>
      <c r="B104" t="s">
        <v>54</v>
      </c>
      <c r="C104">
        <v>121</v>
      </c>
      <c r="D104">
        <v>268.74</v>
      </c>
      <c r="E104">
        <v>7.03</v>
      </c>
      <c r="F104">
        <v>68199.64</v>
      </c>
    </row>
    <row r="105" spans="1:6" x14ac:dyDescent="0.35">
      <c r="A105" t="s">
        <v>14</v>
      </c>
      <c r="B105" t="s">
        <v>35</v>
      </c>
      <c r="C105">
        <v>121</v>
      </c>
      <c r="D105">
        <v>269.41000000000003</v>
      </c>
      <c r="E105">
        <v>7.45</v>
      </c>
      <c r="F105">
        <v>75079.09</v>
      </c>
    </row>
    <row r="106" spans="1:6" x14ac:dyDescent="0.35">
      <c r="A106" t="s">
        <v>14</v>
      </c>
      <c r="B106" t="s">
        <v>46</v>
      </c>
      <c r="C106">
        <v>121</v>
      </c>
      <c r="D106">
        <v>226.06</v>
      </c>
      <c r="E106">
        <v>7.5</v>
      </c>
      <c r="F106">
        <v>74776.84</v>
      </c>
    </row>
    <row r="107" spans="1:6" x14ac:dyDescent="0.35">
      <c r="A107" t="s">
        <v>14</v>
      </c>
      <c r="B107" t="s">
        <v>59</v>
      </c>
      <c r="C107">
        <v>121</v>
      </c>
      <c r="D107">
        <v>214.17</v>
      </c>
      <c r="E107">
        <v>7.6</v>
      </c>
      <c r="F107">
        <v>76441.08</v>
      </c>
    </row>
    <row r="108" spans="1:6" x14ac:dyDescent="0.35">
      <c r="A108" t="s">
        <v>14</v>
      </c>
      <c r="B108" t="s">
        <v>63</v>
      </c>
      <c r="C108">
        <v>121</v>
      </c>
      <c r="D108">
        <v>241.47</v>
      </c>
      <c r="E108">
        <v>7.54</v>
      </c>
      <c r="F108">
        <v>76819.42</v>
      </c>
    </row>
    <row r="109" spans="1:6" x14ac:dyDescent="0.35">
      <c r="A109" t="s">
        <v>6</v>
      </c>
      <c r="B109" t="s">
        <v>19</v>
      </c>
      <c r="C109">
        <v>121</v>
      </c>
      <c r="D109">
        <v>236.79</v>
      </c>
      <c r="E109">
        <v>7.44</v>
      </c>
      <c r="F109">
        <v>75302</v>
      </c>
    </row>
    <row r="110" spans="1:6" x14ac:dyDescent="0.35">
      <c r="A110" t="s">
        <v>6</v>
      </c>
      <c r="B110" t="s">
        <v>27</v>
      </c>
      <c r="C110">
        <v>121</v>
      </c>
      <c r="D110">
        <v>253.51</v>
      </c>
      <c r="E110">
        <v>7.17</v>
      </c>
      <c r="F110">
        <v>72027.7</v>
      </c>
    </row>
    <row r="111" spans="1:6" x14ac:dyDescent="0.35">
      <c r="A111" t="s">
        <v>6</v>
      </c>
      <c r="B111" t="s">
        <v>26</v>
      </c>
      <c r="C111">
        <v>121</v>
      </c>
      <c r="D111">
        <v>219.48</v>
      </c>
      <c r="E111">
        <v>7.26</v>
      </c>
      <c r="F111">
        <v>74303.47</v>
      </c>
    </row>
    <row r="112" spans="1:6" x14ac:dyDescent="0.35">
      <c r="A112" t="s">
        <v>8</v>
      </c>
      <c r="B112" t="s">
        <v>23</v>
      </c>
      <c r="C112">
        <v>120</v>
      </c>
      <c r="D112">
        <v>262.87</v>
      </c>
      <c r="E112">
        <v>7</v>
      </c>
      <c r="F112">
        <v>67912.02</v>
      </c>
    </row>
    <row r="113" spans="1:6" x14ac:dyDescent="0.35">
      <c r="A113" t="s">
        <v>8</v>
      </c>
      <c r="B113" t="s">
        <v>50</v>
      </c>
      <c r="C113">
        <v>120</v>
      </c>
      <c r="D113">
        <v>223.18</v>
      </c>
      <c r="E113">
        <v>7.88</v>
      </c>
      <c r="F113">
        <v>81801.78</v>
      </c>
    </row>
    <row r="114" spans="1:6" x14ac:dyDescent="0.35">
      <c r="A114" t="s">
        <v>8</v>
      </c>
      <c r="B114" t="s">
        <v>29</v>
      </c>
      <c r="C114">
        <v>120</v>
      </c>
      <c r="D114">
        <v>233.18</v>
      </c>
      <c r="E114">
        <v>7.51</v>
      </c>
      <c r="F114">
        <v>79656.88</v>
      </c>
    </row>
    <row r="115" spans="1:6" x14ac:dyDescent="0.35">
      <c r="A115" t="s">
        <v>8</v>
      </c>
      <c r="B115" t="s">
        <v>25</v>
      </c>
      <c r="C115">
        <v>120</v>
      </c>
      <c r="D115">
        <v>255.26</v>
      </c>
      <c r="E115">
        <v>7.43</v>
      </c>
      <c r="F115">
        <v>76551.179999999993</v>
      </c>
    </row>
    <row r="116" spans="1:6" x14ac:dyDescent="0.35">
      <c r="A116" t="s">
        <v>14</v>
      </c>
      <c r="B116" t="s">
        <v>51</v>
      </c>
      <c r="C116">
        <v>120</v>
      </c>
      <c r="D116">
        <v>227.67</v>
      </c>
      <c r="E116">
        <v>7.37</v>
      </c>
      <c r="F116">
        <v>74234.81</v>
      </c>
    </row>
    <row r="117" spans="1:6" x14ac:dyDescent="0.35">
      <c r="A117" t="s">
        <v>6</v>
      </c>
      <c r="B117" t="s">
        <v>16</v>
      </c>
      <c r="C117">
        <v>120</v>
      </c>
      <c r="D117">
        <v>220.39</v>
      </c>
      <c r="E117">
        <v>7.43</v>
      </c>
      <c r="F117">
        <v>74036.42</v>
      </c>
    </row>
    <row r="118" spans="1:6" x14ac:dyDescent="0.35">
      <c r="A118" t="s">
        <v>6</v>
      </c>
      <c r="B118" t="s">
        <v>20</v>
      </c>
      <c r="C118">
        <v>120</v>
      </c>
      <c r="D118">
        <v>241.89</v>
      </c>
      <c r="E118">
        <v>7.57</v>
      </c>
      <c r="F118">
        <v>75301.460000000006</v>
      </c>
    </row>
    <row r="119" spans="1:6" x14ac:dyDescent="0.35">
      <c r="A119" t="s">
        <v>10</v>
      </c>
      <c r="B119" t="s">
        <v>47</v>
      </c>
      <c r="C119">
        <v>119</v>
      </c>
      <c r="D119">
        <v>247.88</v>
      </c>
      <c r="E119">
        <v>7.4</v>
      </c>
      <c r="F119">
        <v>75033.759999999995</v>
      </c>
    </row>
    <row r="120" spans="1:6" x14ac:dyDescent="0.35">
      <c r="A120" t="s">
        <v>10</v>
      </c>
      <c r="B120" t="s">
        <v>64</v>
      </c>
      <c r="C120">
        <v>119</v>
      </c>
      <c r="D120">
        <v>221.5</v>
      </c>
      <c r="E120">
        <v>7.63</v>
      </c>
      <c r="F120">
        <v>77786.42</v>
      </c>
    </row>
    <row r="121" spans="1:6" x14ac:dyDescent="0.35">
      <c r="A121" t="s">
        <v>14</v>
      </c>
      <c r="B121" t="s">
        <v>44</v>
      </c>
      <c r="C121">
        <v>119</v>
      </c>
      <c r="D121">
        <v>244.92</v>
      </c>
      <c r="E121">
        <v>7.45</v>
      </c>
      <c r="F121">
        <v>74949.91</v>
      </c>
    </row>
    <row r="122" spans="1:6" x14ac:dyDescent="0.35">
      <c r="A122" t="s">
        <v>14</v>
      </c>
      <c r="B122" t="s">
        <v>65</v>
      </c>
      <c r="C122">
        <v>119</v>
      </c>
      <c r="D122">
        <v>241.51</v>
      </c>
      <c r="E122">
        <v>7.27</v>
      </c>
      <c r="F122">
        <v>73950.850000000006</v>
      </c>
    </row>
    <row r="123" spans="1:6" x14ac:dyDescent="0.35">
      <c r="A123" t="s">
        <v>8</v>
      </c>
      <c r="B123" t="s">
        <v>48</v>
      </c>
      <c r="C123">
        <v>118</v>
      </c>
      <c r="D123">
        <v>232.99</v>
      </c>
      <c r="E123">
        <v>7.33</v>
      </c>
      <c r="F123">
        <v>77408.33</v>
      </c>
    </row>
    <row r="124" spans="1:6" x14ac:dyDescent="0.35">
      <c r="A124" t="s">
        <v>8</v>
      </c>
      <c r="B124" t="s">
        <v>54</v>
      </c>
      <c r="C124">
        <v>118</v>
      </c>
      <c r="D124">
        <v>214.61</v>
      </c>
      <c r="E124">
        <v>7.53</v>
      </c>
      <c r="F124">
        <v>77830.429999999993</v>
      </c>
    </row>
    <row r="125" spans="1:6" x14ac:dyDescent="0.35">
      <c r="A125" t="s">
        <v>10</v>
      </c>
      <c r="B125" t="s">
        <v>66</v>
      </c>
      <c r="C125">
        <v>118</v>
      </c>
      <c r="D125">
        <v>224.21</v>
      </c>
      <c r="E125">
        <v>7.38</v>
      </c>
      <c r="F125">
        <v>72609.62</v>
      </c>
    </row>
    <row r="126" spans="1:6" x14ac:dyDescent="0.35">
      <c r="A126" t="s">
        <v>14</v>
      </c>
      <c r="B126" t="s">
        <v>55</v>
      </c>
      <c r="C126">
        <v>118</v>
      </c>
      <c r="D126">
        <v>197.92</v>
      </c>
      <c r="E126">
        <v>7.43</v>
      </c>
      <c r="F126">
        <v>72998.58</v>
      </c>
    </row>
    <row r="127" spans="1:6" x14ac:dyDescent="0.35">
      <c r="A127" t="s">
        <v>14</v>
      </c>
      <c r="B127" t="s">
        <v>18</v>
      </c>
      <c r="C127">
        <v>118</v>
      </c>
      <c r="D127">
        <v>236.53</v>
      </c>
      <c r="E127">
        <v>7.57</v>
      </c>
      <c r="F127">
        <v>75076.460000000006</v>
      </c>
    </row>
    <row r="128" spans="1:6" x14ac:dyDescent="0.35">
      <c r="A128" t="s">
        <v>6</v>
      </c>
      <c r="B128" t="s">
        <v>52</v>
      </c>
      <c r="C128">
        <v>118</v>
      </c>
      <c r="D128">
        <v>288.89999999999998</v>
      </c>
      <c r="E128">
        <v>7.31</v>
      </c>
      <c r="F128">
        <v>76184.990000000005</v>
      </c>
    </row>
    <row r="129" spans="1:6" x14ac:dyDescent="0.35">
      <c r="A129" t="s">
        <v>6</v>
      </c>
      <c r="B129" t="s">
        <v>46</v>
      </c>
      <c r="C129">
        <v>118</v>
      </c>
      <c r="D129">
        <v>231.79</v>
      </c>
      <c r="E129">
        <v>7.5</v>
      </c>
      <c r="F129">
        <v>75025.789999999994</v>
      </c>
    </row>
    <row r="130" spans="1:6" x14ac:dyDescent="0.35">
      <c r="A130" t="s">
        <v>6</v>
      </c>
      <c r="B130" t="s">
        <v>65</v>
      </c>
      <c r="C130">
        <v>118</v>
      </c>
      <c r="D130">
        <v>245.95</v>
      </c>
      <c r="E130">
        <v>7.24</v>
      </c>
      <c r="F130">
        <v>71369.69</v>
      </c>
    </row>
    <row r="131" spans="1:6" x14ac:dyDescent="0.35">
      <c r="A131" t="s">
        <v>6</v>
      </c>
      <c r="B131" t="s">
        <v>58</v>
      </c>
      <c r="C131">
        <v>118</v>
      </c>
      <c r="D131">
        <v>243.15</v>
      </c>
      <c r="E131">
        <v>7.47</v>
      </c>
      <c r="F131">
        <v>75679.320000000007</v>
      </c>
    </row>
    <row r="132" spans="1:6" x14ac:dyDescent="0.35">
      <c r="A132" t="s">
        <v>6</v>
      </c>
      <c r="B132" t="s">
        <v>17</v>
      </c>
      <c r="C132">
        <v>118</v>
      </c>
      <c r="D132">
        <v>270.41000000000003</v>
      </c>
      <c r="E132">
        <v>7.3</v>
      </c>
      <c r="F132">
        <v>73316.84</v>
      </c>
    </row>
    <row r="133" spans="1:6" x14ac:dyDescent="0.35">
      <c r="A133" t="s">
        <v>6</v>
      </c>
      <c r="B133" t="s">
        <v>28</v>
      </c>
      <c r="C133">
        <v>118</v>
      </c>
      <c r="D133">
        <v>202.73</v>
      </c>
      <c r="E133">
        <v>7.23</v>
      </c>
      <c r="F133">
        <v>71844.41</v>
      </c>
    </row>
    <row r="134" spans="1:6" x14ac:dyDescent="0.35">
      <c r="A134" t="s">
        <v>8</v>
      </c>
      <c r="B134" t="s">
        <v>67</v>
      </c>
      <c r="C134">
        <v>117</v>
      </c>
      <c r="D134">
        <v>252.08</v>
      </c>
      <c r="E134">
        <v>7.2</v>
      </c>
      <c r="F134">
        <v>70410.039999999994</v>
      </c>
    </row>
    <row r="135" spans="1:6" x14ac:dyDescent="0.35">
      <c r="A135" t="s">
        <v>8</v>
      </c>
      <c r="B135" t="s">
        <v>19</v>
      </c>
      <c r="C135">
        <v>117</v>
      </c>
      <c r="D135">
        <v>229.24</v>
      </c>
      <c r="E135">
        <v>7.53</v>
      </c>
      <c r="F135">
        <v>77004.59</v>
      </c>
    </row>
    <row r="136" spans="1:6" x14ac:dyDescent="0.35">
      <c r="A136" t="s">
        <v>8</v>
      </c>
      <c r="B136" t="s">
        <v>64</v>
      </c>
      <c r="C136">
        <v>117</v>
      </c>
      <c r="D136">
        <v>263.37</v>
      </c>
      <c r="E136">
        <v>7</v>
      </c>
      <c r="F136">
        <v>74211.990000000005</v>
      </c>
    </row>
    <row r="137" spans="1:6" x14ac:dyDescent="0.35">
      <c r="A137" t="s">
        <v>8</v>
      </c>
      <c r="B137" t="s">
        <v>55</v>
      </c>
      <c r="C137">
        <v>117</v>
      </c>
      <c r="D137">
        <v>216.4</v>
      </c>
      <c r="E137">
        <v>7.6</v>
      </c>
      <c r="F137">
        <v>76189.850000000006</v>
      </c>
    </row>
    <row r="138" spans="1:6" x14ac:dyDescent="0.35">
      <c r="A138" t="s">
        <v>8</v>
      </c>
      <c r="B138" t="s">
        <v>26</v>
      </c>
      <c r="C138">
        <v>117</v>
      </c>
      <c r="D138">
        <v>266.31</v>
      </c>
      <c r="E138">
        <v>7.37</v>
      </c>
      <c r="F138">
        <v>74583.95</v>
      </c>
    </row>
    <row r="139" spans="1:6" x14ac:dyDescent="0.35">
      <c r="A139" t="s">
        <v>8</v>
      </c>
      <c r="B139" t="s">
        <v>20</v>
      </c>
      <c r="C139">
        <v>117</v>
      </c>
      <c r="D139">
        <v>230.48</v>
      </c>
      <c r="E139">
        <v>7.28</v>
      </c>
      <c r="F139">
        <v>74302.600000000006</v>
      </c>
    </row>
    <row r="140" spans="1:6" x14ac:dyDescent="0.35">
      <c r="A140" t="s">
        <v>8</v>
      </c>
      <c r="B140" t="s">
        <v>34</v>
      </c>
      <c r="C140">
        <v>117</v>
      </c>
      <c r="D140">
        <v>202.93</v>
      </c>
      <c r="E140">
        <v>7.38</v>
      </c>
      <c r="F140">
        <v>71176.38</v>
      </c>
    </row>
    <row r="141" spans="1:6" x14ac:dyDescent="0.35">
      <c r="A141" t="s">
        <v>10</v>
      </c>
      <c r="B141" t="s">
        <v>23</v>
      </c>
      <c r="C141">
        <v>117</v>
      </c>
      <c r="D141">
        <v>266.69</v>
      </c>
      <c r="E141">
        <v>7.5</v>
      </c>
      <c r="F141">
        <v>71586.63</v>
      </c>
    </row>
    <row r="142" spans="1:6" x14ac:dyDescent="0.35">
      <c r="A142" t="s">
        <v>14</v>
      </c>
      <c r="B142" t="s">
        <v>30</v>
      </c>
      <c r="C142">
        <v>117</v>
      </c>
      <c r="D142">
        <v>271.45</v>
      </c>
      <c r="E142">
        <v>7.27</v>
      </c>
      <c r="F142">
        <v>71083.600000000006</v>
      </c>
    </row>
    <row r="143" spans="1:6" x14ac:dyDescent="0.35">
      <c r="A143" t="s">
        <v>6</v>
      </c>
      <c r="B143" t="s">
        <v>67</v>
      </c>
      <c r="C143">
        <v>117</v>
      </c>
      <c r="D143">
        <v>260.19</v>
      </c>
      <c r="E143">
        <v>7.09</v>
      </c>
      <c r="F143">
        <v>70968.38</v>
      </c>
    </row>
    <row r="144" spans="1:6" x14ac:dyDescent="0.35">
      <c r="A144" t="s">
        <v>6</v>
      </c>
      <c r="B144" t="s">
        <v>55</v>
      </c>
      <c r="C144">
        <v>117</v>
      </c>
      <c r="D144">
        <v>235.72</v>
      </c>
      <c r="E144">
        <v>7.4</v>
      </c>
      <c r="F144">
        <v>74720.289999999994</v>
      </c>
    </row>
    <row r="145" spans="1:6" x14ac:dyDescent="0.35">
      <c r="A145" t="s">
        <v>6</v>
      </c>
      <c r="B145" t="s">
        <v>32</v>
      </c>
      <c r="C145">
        <v>117</v>
      </c>
      <c r="D145">
        <v>245.29</v>
      </c>
      <c r="E145">
        <v>7.47</v>
      </c>
      <c r="F145">
        <v>74284.009999999995</v>
      </c>
    </row>
    <row r="146" spans="1:6" x14ac:dyDescent="0.35">
      <c r="A146" t="s">
        <v>6</v>
      </c>
      <c r="B146" t="s">
        <v>18</v>
      </c>
      <c r="C146">
        <v>117</v>
      </c>
      <c r="D146">
        <v>265.23</v>
      </c>
      <c r="E146">
        <v>6.97</v>
      </c>
      <c r="F146">
        <v>70414.92</v>
      </c>
    </row>
    <row r="147" spans="1:6" x14ac:dyDescent="0.35">
      <c r="A147" t="s">
        <v>8</v>
      </c>
      <c r="B147" t="s">
        <v>41</v>
      </c>
      <c r="C147">
        <v>116</v>
      </c>
      <c r="D147">
        <v>240.7</v>
      </c>
      <c r="E147">
        <v>7.33</v>
      </c>
      <c r="F147">
        <v>74561.42</v>
      </c>
    </row>
    <row r="148" spans="1:6" x14ac:dyDescent="0.35">
      <c r="A148" t="s">
        <v>8</v>
      </c>
      <c r="B148" t="s">
        <v>43</v>
      </c>
      <c r="C148">
        <v>116</v>
      </c>
      <c r="D148">
        <v>209.96</v>
      </c>
      <c r="E148">
        <v>7.56</v>
      </c>
      <c r="F148">
        <v>74413.320000000007</v>
      </c>
    </row>
    <row r="149" spans="1:6" x14ac:dyDescent="0.35">
      <c r="A149" t="s">
        <v>8</v>
      </c>
      <c r="B149" t="s">
        <v>66</v>
      </c>
      <c r="C149">
        <v>116</v>
      </c>
      <c r="D149">
        <v>203.16</v>
      </c>
      <c r="E149">
        <v>7.22</v>
      </c>
      <c r="F149">
        <v>73864.37</v>
      </c>
    </row>
    <row r="150" spans="1:6" x14ac:dyDescent="0.35">
      <c r="A150" t="s">
        <v>8</v>
      </c>
      <c r="B150" t="s">
        <v>37</v>
      </c>
      <c r="C150">
        <v>116</v>
      </c>
      <c r="D150">
        <v>214.39</v>
      </c>
      <c r="E150">
        <v>7.49</v>
      </c>
      <c r="F150">
        <v>75959.789999999994</v>
      </c>
    </row>
    <row r="151" spans="1:6" x14ac:dyDescent="0.35">
      <c r="A151" t="s">
        <v>10</v>
      </c>
      <c r="B151" t="s">
        <v>58</v>
      </c>
      <c r="C151">
        <v>116</v>
      </c>
      <c r="D151">
        <v>275.08999999999997</v>
      </c>
      <c r="E151">
        <v>7.47</v>
      </c>
      <c r="F151">
        <v>77309.460000000006</v>
      </c>
    </row>
    <row r="152" spans="1:6" x14ac:dyDescent="0.35">
      <c r="A152" t="s">
        <v>10</v>
      </c>
      <c r="B152" t="s">
        <v>50</v>
      </c>
      <c r="C152">
        <v>116</v>
      </c>
      <c r="D152">
        <v>229.41</v>
      </c>
      <c r="E152">
        <v>7.39</v>
      </c>
      <c r="F152">
        <v>73268.759999999995</v>
      </c>
    </row>
    <row r="153" spans="1:6" x14ac:dyDescent="0.35">
      <c r="A153" t="s">
        <v>10</v>
      </c>
      <c r="B153" t="s">
        <v>61</v>
      </c>
      <c r="C153">
        <v>116</v>
      </c>
      <c r="D153">
        <v>263.70999999999998</v>
      </c>
      <c r="E153">
        <v>7.42</v>
      </c>
      <c r="F153">
        <v>77288.929999999993</v>
      </c>
    </row>
    <row r="154" spans="1:6" x14ac:dyDescent="0.35">
      <c r="A154" t="s">
        <v>14</v>
      </c>
      <c r="B154" t="s">
        <v>64</v>
      </c>
      <c r="C154">
        <v>116</v>
      </c>
      <c r="D154">
        <v>220.16</v>
      </c>
      <c r="E154">
        <v>7.4</v>
      </c>
      <c r="F154">
        <v>76911.17</v>
      </c>
    </row>
    <row r="155" spans="1:6" x14ac:dyDescent="0.35">
      <c r="A155" t="s">
        <v>14</v>
      </c>
      <c r="B155" t="s">
        <v>58</v>
      </c>
      <c r="C155">
        <v>116</v>
      </c>
      <c r="D155">
        <v>237.5</v>
      </c>
      <c r="E155">
        <v>7.32</v>
      </c>
      <c r="F155">
        <v>70046.83</v>
      </c>
    </row>
    <row r="156" spans="1:6" x14ac:dyDescent="0.35">
      <c r="A156" t="s">
        <v>6</v>
      </c>
      <c r="B156" t="s">
        <v>42</v>
      </c>
      <c r="C156">
        <v>116</v>
      </c>
      <c r="D156">
        <v>236.1</v>
      </c>
      <c r="E156">
        <v>7.78</v>
      </c>
      <c r="F156">
        <v>78185.88</v>
      </c>
    </row>
    <row r="157" spans="1:6" x14ac:dyDescent="0.35">
      <c r="A157" t="s">
        <v>6</v>
      </c>
      <c r="B157" t="s">
        <v>54</v>
      </c>
      <c r="C157">
        <v>116</v>
      </c>
      <c r="D157">
        <v>229.64</v>
      </c>
      <c r="E157">
        <v>7.16</v>
      </c>
      <c r="F157">
        <v>71091.97</v>
      </c>
    </row>
    <row r="158" spans="1:6" x14ac:dyDescent="0.35">
      <c r="A158" t="s">
        <v>6</v>
      </c>
      <c r="B158" t="s">
        <v>50</v>
      </c>
      <c r="C158">
        <v>116</v>
      </c>
      <c r="D158">
        <v>217.1</v>
      </c>
      <c r="E158">
        <v>7.4</v>
      </c>
      <c r="F158">
        <v>75114.03</v>
      </c>
    </row>
    <row r="159" spans="1:6" x14ac:dyDescent="0.35">
      <c r="A159" t="s">
        <v>8</v>
      </c>
      <c r="B159" t="s">
        <v>11</v>
      </c>
      <c r="C159">
        <v>115</v>
      </c>
      <c r="D159">
        <v>237.87</v>
      </c>
      <c r="E159">
        <v>7.53</v>
      </c>
      <c r="F159">
        <v>74093.210000000006</v>
      </c>
    </row>
    <row r="160" spans="1:6" x14ac:dyDescent="0.35">
      <c r="A160" t="s">
        <v>10</v>
      </c>
      <c r="B160" t="s">
        <v>33</v>
      </c>
      <c r="C160">
        <v>115</v>
      </c>
      <c r="D160">
        <v>224.71</v>
      </c>
      <c r="E160">
        <v>7.26</v>
      </c>
      <c r="F160">
        <v>72019.83</v>
      </c>
    </row>
    <row r="161" spans="1:6" x14ac:dyDescent="0.35">
      <c r="A161" t="s">
        <v>14</v>
      </c>
      <c r="B161" t="s">
        <v>27</v>
      </c>
      <c r="C161">
        <v>115</v>
      </c>
      <c r="D161">
        <v>232.78</v>
      </c>
      <c r="E161">
        <v>7.53</v>
      </c>
      <c r="F161">
        <v>75529.05</v>
      </c>
    </row>
    <row r="162" spans="1:6" x14ac:dyDescent="0.35">
      <c r="A162" t="s">
        <v>14</v>
      </c>
      <c r="B162" t="s">
        <v>43</v>
      </c>
      <c r="C162">
        <v>115</v>
      </c>
      <c r="D162">
        <v>203.79</v>
      </c>
      <c r="E162">
        <v>7.68</v>
      </c>
      <c r="F162">
        <v>78073.25</v>
      </c>
    </row>
    <row r="163" spans="1:6" x14ac:dyDescent="0.35">
      <c r="A163" t="s">
        <v>14</v>
      </c>
      <c r="B163" t="s">
        <v>61</v>
      </c>
      <c r="C163">
        <v>115</v>
      </c>
      <c r="D163">
        <v>223.39</v>
      </c>
      <c r="E163">
        <v>7.48</v>
      </c>
      <c r="F163">
        <v>75241.460000000006</v>
      </c>
    </row>
    <row r="164" spans="1:6" x14ac:dyDescent="0.35">
      <c r="A164" t="s">
        <v>10</v>
      </c>
      <c r="B164" t="s">
        <v>7</v>
      </c>
      <c r="C164">
        <v>114</v>
      </c>
      <c r="D164">
        <v>215.6</v>
      </c>
      <c r="E164">
        <v>7.58</v>
      </c>
      <c r="F164">
        <v>76345.59</v>
      </c>
    </row>
    <row r="165" spans="1:6" x14ac:dyDescent="0.35">
      <c r="A165" t="s">
        <v>10</v>
      </c>
      <c r="B165" t="s">
        <v>45</v>
      </c>
      <c r="C165">
        <v>114</v>
      </c>
      <c r="D165">
        <v>239.61</v>
      </c>
      <c r="E165">
        <v>7.34</v>
      </c>
      <c r="F165">
        <v>72651.05</v>
      </c>
    </row>
    <row r="166" spans="1:6" x14ac:dyDescent="0.35">
      <c r="A166" t="s">
        <v>14</v>
      </c>
      <c r="B166" t="s">
        <v>9</v>
      </c>
      <c r="C166">
        <v>114</v>
      </c>
      <c r="D166">
        <v>224.35</v>
      </c>
      <c r="E166">
        <v>7.56</v>
      </c>
      <c r="F166">
        <v>76875.59</v>
      </c>
    </row>
    <row r="167" spans="1:6" x14ac:dyDescent="0.35">
      <c r="A167" t="s">
        <v>14</v>
      </c>
      <c r="B167" t="s">
        <v>22</v>
      </c>
      <c r="C167">
        <v>114</v>
      </c>
      <c r="D167">
        <v>227.85</v>
      </c>
      <c r="E167">
        <v>7.66</v>
      </c>
      <c r="F167">
        <v>77095.58</v>
      </c>
    </row>
    <row r="168" spans="1:6" x14ac:dyDescent="0.35">
      <c r="A168" t="s">
        <v>14</v>
      </c>
      <c r="B168" t="s">
        <v>56</v>
      </c>
      <c r="C168">
        <v>114</v>
      </c>
      <c r="D168">
        <v>253.73</v>
      </c>
      <c r="E168">
        <v>7.3</v>
      </c>
      <c r="F168">
        <v>74291.83</v>
      </c>
    </row>
    <row r="169" spans="1:6" x14ac:dyDescent="0.35">
      <c r="A169" t="s">
        <v>6</v>
      </c>
      <c r="B169" t="s">
        <v>64</v>
      </c>
      <c r="C169">
        <v>114</v>
      </c>
      <c r="D169">
        <v>216.4</v>
      </c>
      <c r="E169">
        <v>7.36</v>
      </c>
      <c r="F169">
        <v>74994.350000000006</v>
      </c>
    </row>
    <row r="170" spans="1:6" x14ac:dyDescent="0.35">
      <c r="A170" t="s">
        <v>10</v>
      </c>
      <c r="B170" t="s">
        <v>67</v>
      </c>
      <c r="C170">
        <v>113</v>
      </c>
      <c r="D170">
        <v>211.09</v>
      </c>
      <c r="E170">
        <v>7.6</v>
      </c>
      <c r="F170">
        <v>73939.5</v>
      </c>
    </row>
    <row r="171" spans="1:6" x14ac:dyDescent="0.35">
      <c r="A171" t="s">
        <v>14</v>
      </c>
      <c r="B171" t="s">
        <v>60</v>
      </c>
      <c r="C171">
        <v>113</v>
      </c>
      <c r="D171">
        <v>249.81</v>
      </c>
      <c r="E171">
        <v>7.32</v>
      </c>
      <c r="F171">
        <v>74437.679999999993</v>
      </c>
    </row>
    <row r="172" spans="1:6" x14ac:dyDescent="0.35">
      <c r="A172" t="s">
        <v>14</v>
      </c>
      <c r="B172" t="s">
        <v>66</v>
      </c>
      <c r="C172">
        <v>113</v>
      </c>
      <c r="D172">
        <v>252.63</v>
      </c>
      <c r="E172">
        <v>7.19</v>
      </c>
      <c r="F172">
        <v>73638.399999999994</v>
      </c>
    </row>
    <row r="173" spans="1:6" x14ac:dyDescent="0.35">
      <c r="A173" t="s">
        <v>6</v>
      </c>
      <c r="B173" t="s">
        <v>68</v>
      </c>
      <c r="C173">
        <v>113</v>
      </c>
      <c r="D173">
        <v>231.18</v>
      </c>
      <c r="E173">
        <v>7.5</v>
      </c>
      <c r="F173">
        <v>74231.91</v>
      </c>
    </row>
    <row r="174" spans="1:6" x14ac:dyDescent="0.35">
      <c r="A174" t="s">
        <v>6</v>
      </c>
      <c r="B174" t="s">
        <v>21</v>
      </c>
      <c r="C174">
        <v>113</v>
      </c>
      <c r="D174">
        <v>238.89</v>
      </c>
      <c r="E174">
        <v>7.68</v>
      </c>
      <c r="F174">
        <v>76396.67</v>
      </c>
    </row>
    <row r="175" spans="1:6" x14ac:dyDescent="0.35">
      <c r="A175" t="s">
        <v>10</v>
      </c>
      <c r="B175" t="s">
        <v>22</v>
      </c>
      <c r="C175">
        <v>112</v>
      </c>
      <c r="D175">
        <v>257.89</v>
      </c>
      <c r="E175">
        <v>7.1</v>
      </c>
      <c r="F175">
        <v>73248.63</v>
      </c>
    </row>
    <row r="176" spans="1:6" x14ac:dyDescent="0.35">
      <c r="A176" t="s">
        <v>14</v>
      </c>
      <c r="B176" t="s">
        <v>57</v>
      </c>
      <c r="C176">
        <v>112</v>
      </c>
      <c r="D176">
        <v>219.46</v>
      </c>
      <c r="E176">
        <v>7.32</v>
      </c>
      <c r="F176">
        <v>75457.81</v>
      </c>
    </row>
    <row r="177" spans="1:6" x14ac:dyDescent="0.35">
      <c r="A177" t="s">
        <v>6</v>
      </c>
      <c r="B177" t="s">
        <v>47</v>
      </c>
      <c r="C177">
        <v>112</v>
      </c>
      <c r="D177">
        <v>234.81</v>
      </c>
      <c r="E177">
        <v>7.12</v>
      </c>
      <c r="F177">
        <v>70542.490000000005</v>
      </c>
    </row>
    <row r="178" spans="1:6" x14ac:dyDescent="0.35">
      <c r="A178" t="s">
        <v>6</v>
      </c>
      <c r="B178" t="s">
        <v>62</v>
      </c>
      <c r="C178">
        <v>112</v>
      </c>
      <c r="D178">
        <v>230.41</v>
      </c>
      <c r="E178">
        <v>7.92</v>
      </c>
      <c r="F178">
        <v>79003.289999999994</v>
      </c>
    </row>
    <row r="179" spans="1:6" x14ac:dyDescent="0.35">
      <c r="A179" t="s">
        <v>6</v>
      </c>
      <c r="B179" t="s">
        <v>59</v>
      </c>
      <c r="C179">
        <v>112</v>
      </c>
      <c r="D179">
        <v>245.38</v>
      </c>
      <c r="E179">
        <v>7.39</v>
      </c>
      <c r="F179">
        <v>72910.600000000006</v>
      </c>
    </row>
    <row r="180" spans="1:6" x14ac:dyDescent="0.35">
      <c r="A180" t="s">
        <v>8</v>
      </c>
      <c r="B180" t="s">
        <v>7</v>
      </c>
      <c r="C180">
        <v>111</v>
      </c>
      <c r="D180">
        <v>205.34</v>
      </c>
      <c r="E180">
        <v>7.35</v>
      </c>
      <c r="F180">
        <v>72915.95</v>
      </c>
    </row>
    <row r="181" spans="1:6" x14ac:dyDescent="0.35">
      <c r="A181" t="s">
        <v>8</v>
      </c>
      <c r="B181" t="s">
        <v>68</v>
      </c>
      <c r="C181">
        <v>111</v>
      </c>
      <c r="D181">
        <v>208.79</v>
      </c>
      <c r="E181">
        <v>7.38</v>
      </c>
      <c r="F181">
        <v>72487.899999999994</v>
      </c>
    </row>
    <row r="182" spans="1:6" x14ac:dyDescent="0.35">
      <c r="A182" t="s">
        <v>10</v>
      </c>
      <c r="B182" t="s">
        <v>27</v>
      </c>
      <c r="C182">
        <v>111</v>
      </c>
      <c r="D182">
        <v>274.27999999999997</v>
      </c>
      <c r="E182">
        <v>7.36</v>
      </c>
      <c r="F182">
        <v>74996.12</v>
      </c>
    </row>
    <row r="183" spans="1:6" x14ac:dyDescent="0.35">
      <c r="A183" t="s">
        <v>10</v>
      </c>
      <c r="B183" t="s">
        <v>65</v>
      </c>
      <c r="C183">
        <v>111</v>
      </c>
      <c r="D183">
        <v>230.39</v>
      </c>
      <c r="E183">
        <v>7.23</v>
      </c>
      <c r="F183">
        <v>73600.88</v>
      </c>
    </row>
    <row r="184" spans="1:6" x14ac:dyDescent="0.35">
      <c r="A184" t="s">
        <v>14</v>
      </c>
      <c r="B184" t="s">
        <v>11</v>
      </c>
      <c r="C184">
        <v>111</v>
      </c>
      <c r="D184">
        <v>208.21</v>
      </c>
      <c r="E184">
        <v>7.65</v>
      </c>
      <c r="F184">
        <v>75706.460000000006</v>
      </c>
    </row>
    <row r="185" spans="1:6" x14ac:dyDescent="0.35">
      <c r="A185" t="s">
        <v>6</v>
      </c>
      <c r="B185" t="s">
        <v>9</v>
      </c>
      <c r="C185">
        <v>111</v>
      </c>
      <c r="D185">
        <v>228.32</v>
      </c>
      <c r="E185">
        <v>7.41</v>
      </c>
      <c r="F185">
        <v>75032.47</v>
      </c>
    </row>
    <row r="186" spans="1:6" x14ac:dyDescent="0.35">
      <c r="A186" t="s">
        <v>6</v>
      </c>
      <c r="B186" t="s">
        <v>23</v>
      </c>
      <c r="C186">
        <v>111</v>
      </c>
      <c r="D186">
        <v>199.73</v>
      </c>
      <c r="E186">
        <v>7.47</v>
      </c>
      <c r="F186">
        <v>73914.67</v>
      </c>
    </row>
    <row r="187" spans="1:6" x14ac:dyDescent="0.35">
      <c r="A187" t="s">
        <v>8</v>
      </c>
      <c r="B187" t="s">
        <v>47</v>
      </c>
      <c r="C187">
        <v>110</v>
      </c>
      <c r="D187">
        <v>216.64</v>
      </c>
      <c r="E187">
        <v>7.8</v>
      </c>
      <c r="F187">
        <v>79252.55</v>
      </c>
    </row>
    <row r="188" spans="1:6" x14ac:dyDescent="0.35">
      <c r="A188" t="s">
        <v>8</v>
      </c>
      <c r="B188" t="s">
        <v>53</v>
      </c>
      <c r="C188">
        <v>110</v>
      </c>
      <c r="D188">
        <v>240.47</v>
      </c>
      <c r="E188">
        <v>7.6</v>
      </c>
      <c r="F188">
        <v>76169.06</v>
      </c>
    </row>
    <row r="189" spans="1:6" x14ac:dyDescent="0.35">
      <c r="A189" t="s">
        <v>8</v>
      </c>
      <c r="B189" t="s">
        <v>32</v>
      </c>
      <c r="C189">
        <v>110</v>
      </c>
      <c r="D189">
        <v>208.28</v>
      </c>
      <c r="E189">
        <v>7.62</v>
      </c>
      <c r="F189">
        <v>76448.25</v>
      </c>
    </row>
    <row r="190" spans="1:6" x14ac:dyDescent="0.35">
      <c r="A190" t="s">
        <v>10</v>
      </c>
      <c r="B190" t="s">
        <v>52</v>
      </c>
      <c r="C190">
        <v>110</v>
      </c>
      <c r="D190">
        <v>216.19</v>
      </c>
      <c r="E190">
        <v>7.4</v>
      </c>
      <c r="F190">
        <v>76919.05</v>
      </c>
    </row>
    <row r="191" spans="1:6" x14ac:dyDescent="0.35">
      <c r="A191" t="s">
        <v>14</v>
      </c>
      <c r="B191" t="s">
        <v>69</v>
      </c>
      <c r="C191">
        <v>110</v>
      </c>
      <c r="D191">
        <v>238.79</v>
      </c>
      <c r="E191">
        <v>7.38</v>
      </c>
      <c r="F191">
        <v>73900.990000000005</v>
      </c>
    </row>
    <row r="192" spans="1:6" x14ac:dyDescent="0.35">
      <c r="A192" t="s">
        <v>8</v>
      </c>
      <c r="B192" t="s">
        <v>16</v>
      </c>
      <c r="C192">
        <v>109</v>
      </c>
      <c r="D192">
        <v>221.68</v>
      </c>
      <c r="E192">
        <v>7.55</v>
      </c>
      <c r="F192">
        <v>75167.009999999995</v>
      </c>
    </row>
    <row r="193" spans="1:6" x14ac:dyDescent="0.35">
      <c r="A193" t="s">
        <v>8</v>
      </c>
      <c r="B193" t="s">
        <v>69</v>
      </c>
      <c r="C193">
        <v>109</v>
      </c>
      <c r="D193">
        <v>253.6</v>
      </c>
      <c r="E193">
        <v>6.79</v>
      </c>
      <c r="F193">
        <v>66910.490000000005</v>
      </c>
    </row>
    <row r="194" spans="1:6" x14ac:dyDescent="0.35">
      <c r="A194" t="s">
        <v>8</v>
      </c>
      <c r="B194" t="s">
        <v>56</v>
      </c>
      <c r="C194">
        <v>109</v>
      </c>
      <c r="D194">
        <v>253.13</v>
      </c>
      <c r="E194">
        <v>7.28</v>
      </c>
      <c r="F194">
        <v>73958.67</v>
      </c>
    </row>
    <row r="195" spans="1:6" x14ac:dyDescent="0.35">
      <c r="A195" t="s">
        <v>10</v>
      </c>
      <c r="B195" t="s">
        <v>17</v>
      </c>
      <c r="C195">
        <v>109</v>
      </c>
      <c r="D195">
        <v>253.69</v>
      </c>
      <c r="E195">
        <v>7.28</v>
      </c>
      <c r="F195">
        <v>72817.509999999995</v>
      </c>
    </row>
    <row r="196" spans="1:6" x14ac:dyDescent="0.35">
      <c r="A196" t="s">
        <v>14</v>
      </c>
      <c r="B196" t="s">
        <v>13</v>
      </c>
      <c r="C196">
        <v>109</v>
      </c>
      <c r="D196">
        <v>232.86</v>
      </c>
      <c r="E196">
        <v>7.42</v>
      </c>
      <c r="F196">
        <v>72881.61</v>
      </c>
    </row>
    <row r="197" spans="1:6" x14ac:dyDescent="0.35">
      <c r="A197" t="s">
        <v>8</v>
      </c>
      <c r="B197" t="s">
        <v>39</v>
      </c>
      <c r="C197">
        <v>108</v>
      </c>
      <c r="D197">
        <v>211.19</v>
      </c>
      <c r="E197">
        <v>7.68</v>
      </c>
      <c r="F197">
        <v>75818.259999999995</v>
      </c>
    </row>
    <row r="198" spans="1:6" x14ac:dyDescent="0.35">
      <c r="A198" t="s">
        <v>8</v>
      </c>
      <c r="B198" t="s">
        <v>42</v>
      </c>
      <c r="C198">
        <v>108</v>
      </c>
      <c r="D198">
        <v>250.71</v>
      </c>
      <c r="E198">
        <v>7.54</v>
      </c>
      <c r="F198">
        <v>72854.45</v>
      </c>
    </row>
    <row r="199" spans="1:6" x14ac:dyDescent="0.35">
      <c r="A199" t="s">
        <v>6</v>
      </c>
      <c r="B199" t="s">
        <v>24</v>
      </c>
      <c r="C199">
        <v>108</v>
      </c>
      <c r="D199">
        <v>227.56</v>
      </c>
      <c r="E199">
        <v>7.7</v>
      </c>
      <c r="F199">
        <v>76683.990000000005</v>
      </c>
    </row>
    <row r="200" spans="1:6" x14ac:dyDescent="0.35">
      <c r="A200" t="s">
        <v>6</v>
      </c>
      <c r="B200" t="s">
        <v>36</v>
      </c>
      <c r="C200">
        <v>108</v>
      </c>
      <c r="D200">
        <v>268.04000000000002</v>
      </c>
      <c r="E200">
        <v>7.44</v>
      </c>
      <c r="F200">
        <v>76395.179999999993</v>
      </c>
    </row>
    <row r="201" spans="1:6" x14ac:dyDescent="0.35">
      <c r="A201" t="s">
        <v>8</v>
      </c>
      <c r="B201" t="s">
        <v>17</v>
      </c>
      <c r="C201">
        <v>107</v>
      </c>
      <c r="D201">
        <v>255.58</v>
      </c>
      <c r="E201">
        <v>7.5</v>
      </c>
      <c r="F201">
        <v>74227.75</v>
      </c>
    </row>
    <row r="202" spans="1:6" x14ac:dyDescent="0.35">
      <c r="A202" t="s">
        <v>8</v>
      </c>
      <c r="B202" t="s">
        <v>21</v>
      </c>
      <c r="C202">
        <v>107</v>
      </c>
      <c r="D202">
        <v>229.79</v>
      </c>
      <c r="E202">
        <v>7.5</v>
      </c>
      <c r="F202">
        <v>77043.78</v>
      </c>
    </row>
    <row r="203" spans="1:6" x14ac:dyDescent="0.35">
      <c r="A203" t="s">
        <v>10</v>
      </c>
      <c r="B203" t="s">
        <v>39</v>
      </c>
      <c r="C203">
        <v>107</v>
      </c>
      <c r="D203">
        <v>252.36</v>
      </c>
      <c r="E203">
        <v>7.24</v>
      </c>
      <c r="F203">
        <v>71851.42</v>
      </c>
    </row>
    <row r="204" spans="1:6" x14ac:dyDescent="0.35">
      <c r="A204" t="s">
        <v>10</v>
      </c>
      <c r="B204" t="s">
        <v>69</v>
      </c>
      <c r="C204">
        <v>107</v>
      </c>
      <c r="D204">
        <v>241.63</v>
      </c>
      <c r="E204">
        <v>7.29</v>
      </c>
      <c r="F204">
        <v>72063.649999999994</v>
      </c>
    </row>
    <row r="205" spans="1:6" x14ac:dyDescent="0.35">
      <c r="A205" t="s">
        <v>14</v>
      </c>
      <c r="B205" t="s">
        <v>49</v>
      </c>
      <c r="C205">
        <v>107</v>
      </c>
      <c r="D205">
        <v>219.22</v>
      </c>
      <c r="E205">
        <v>7.24</v>
      </c>
      <c r="F205">
        <v>72002.820000000007</v>
      </c>
    </row>
    <row r="206" spans="1:6" x14ac:dyDescent="0.35">
      <c r="A206" t="s">
        <v>6</v>
      </c>
      <c r="B206" t="s">
        <v>34</v>
      </c>
      <c r="C206">
        <v>107</v>
      </c>
      <c r="D206">
        <v>213.66</v>
      </c>
      <c r="E206">
        <v>7.3</v>
      </c>
      <c r="F206">
        <v>72538.63</v>
      </c>
    </row>
    <row r="207" spans="1:6" x14ac:dyDescent="0.35">
      <c r="A207" t="s">
        <v>6</v>
      </c>
      <c r="B207" t="s">
        <v>38</v>
      </c>
      <c r="C207">
        <v>107</v>
      </c>
      <c r="D207">
        <v>219.77</v>
      </c>
      <c r="E207">
        <v>7.54</v>
      </c>
      <c r="F207">
        <v>76462.48</v>
      </c>
    </row>
    <row r="208" spans="1:6" x14ac:dyDescent="0.35">
      <c r="A208" t="s">
        <v>10</v>
      </c>
      <c r="B208" t="s">
        <v>43</v>
      </c>
      <c r="C208">
        <v>106</v>
      </c>
      <c r="D208">
        <v>262.98</v>
      </c>
      <c r="E208">
        <v>7.11</v>
      </c>
      <c r="F208">
        <v>72903.42</v>
      </c>
    </row>
    <row r="209" spans="1:6" x14ac:dyDescent="0.35">
      <c r="A209" t="s">
        <v>8</v>
      </c>
      <c r="B209" t="s">
        <v>63</v>
      </c>
      <c r="C209">
        <v>105</v>
      </c>
      <c r="D209">
        <v>208.2</v>
      </c>
      <c r="E209">
        <v>7.57</v>
      </c>
      <c r="F209">
        <v>76059.94</v>
      </c>
    </row>
    <row r="210" spans="1:6" x14ac:dyDescent="0.35">
      <c r="A210" t="s">
        <v>14</v>
      </c>
      <c r="B210" t="s">
        <v>67</v>
      </c>
      <c r="C210">
        <v>105</v>
      </c>
      <c r="D210">
        <v>248.59</v>
      </c>
      <c r="E210">
        <v>7.61</v>
      </c>
      <c r="F210">
        <v>76840.509999999995</v>
      </c>
    </row>
    <row r="211" spans="1:6" x14ac:dyDescent="0.35">
      <c r="A211" t="s">
        <v>14</v>
      </c>
      <c r="B211" t="s">
        <v>68</v>
      </c>
      <c r="C211">
        <v>105</v>
      </c>
      <c r="D211">
        <v>202.11</v>
      </c>
      <c r="E211">
        <v>7.79</v>
      </c>
      <c r="F211">
        <v>78396.100000000006</v>
      </c>
    </row>
    <row r="212" spans="1:6" x14ac:dyDescent="0.35">
      <c r="A212" t="s">
        <v>10</v>
      </c>
      <c r="B212" t="s">
        <v>9</v>
      </c>
      <c r="C212">
        <v>104</v>
      </c>
      <c r="D212">
        <v>254.91</v>
      </c>
      <c r="E212">
        <v>6.85</v>
      </c>
      <c r="F212">
        <v>68192.399999999994</v>
      </c>
    </row>
    <row r="213" spans="1:6" x14ac:dyDescent="0.35">
      <c r="A213" t="s">
        <v>10</v>
      </c>
      <c r="B213" t="s">
        <v>28</v>
      </c>
      <c r="C213">
        <v>104</v>
      </c>
      <c r="D213">
        <v>225.99</v>
      </c>
      <c r="E213">
        <v>7.4</v>
      </c>
      <c r="F213">
        <v>76671.38</v>
      </c>
    </row>
    <row r="214" spans="1:6" x14ac:dyDescent="0.35">
      <c r="A214" t="s">
        <v>6</v>
      </c>
      <c r="B214" t="s">
        <v>66</v>
      </c>
      <c r="C214">
        <v>104</v>
      </c>
      <c r="D214">
        <v>223.87</v>
      </c>
      <c r="E214">
        <v>7.64</v>
      </c>
      <c r="F214">
        <v>77889.320000000007</v>
      </c>
    </row>
    <row r="215" spans="1:6" x14ac:dyDescent="0.35">
      <c r="A215" t="s">
        <v>6</v>
      </c>
      <c r="B215" t="s">
        <v>37</v>
      </c>
      <c r="C215">
        <v>104</v>
      </c>
      <c r="D215">
        <v>226.1</v>
      </c>
      <c r="E215">
        <v>7.59</v>
      </c>
      <c r="F215">
        <v>73827.78</v>
      </c>
    </row>
    <row r="216" spans="1:6" x14ac:dyDescent="0.35">
      <c r="A216" t="s">
        <v>10</v>
      </c>
      <c r="B216" t="s">
        <v>42</v>
      </c>
      <c r="C216">
        <v>102</v>
      </c>
      <c r="D216">
        <v>255.78</v>
      </c>
      <c r="E216">
        <v>7.22</v>
      </c>
      <c r="F216">
        <v>72616.69</v>
      </c>
    </row>
    <row r="217" spans="1:6" x14ac:dyDescent="0.35">
      <c r="A217" t="s">
        <v>10</v>
      </c>
      <c r="B217" t="s">
        <v>35</v>
      </c>
      <c r="C217">
        <v>102</v>
      </c>
      <c r="D217">
        <v>232.7</v>
      </c>
      <c r="E217">
        <v>7.13</v>
      </c>
      <c r="F217">
        <v>71995.17</v>
      </c>
    </row>
    <row r="218" spans="1:6" x14ac:dyDescent="0.35">
      <c r="A218" t="s">
        <v>10</v>
      </c>
      <c r="B218" t="s">
        <v>63</v>
      </c>
      <c r="C218">
        <v>102</v>
      </c>
      <c r="D218">
        <v>250.94</v>
      </c>
      <c r="E218">
        <v>7.14</v>
      </c>
      <c r="F218">
        <v>72709.67</v>
      </c>
    </row>
    <row r="219" spans="1:6" x14ac:dyDescent="0.35">
      <c r="A219" t="s">
        <v>14</v>
      </c>
      <c r="B219" t="s">
        <v>24</v>
      </c>
      <c r="C219">
        <v>102</v>
      </c>
      <c r="D219">
        <v>239.73</v>
      </c>
      <c r="E219">
        <v>7.54</v>
      </c>
      <c r="F219">
        <v>72692.539999999994</v>
      </c>
    </row>
    <row r="220" spans="1:6" x14ac:dyDescent="0.35">
      <c r="A220" t="s">
        <v>10</v>
      </c>
      <c r="B220" t="s">
        <v>26</v>
      </c>
      <c r="C220">
        <v>101</v>
      </c>
      <c r="D220">
        <v>252.25</v>
      </c>
      <c r="E220">
        <v>7.16</v>
      </c>
      <c r="F220">
        <v>74800.899999999994</v>
      </c>
    </row>
    <row r="221" spans="1:6" x14ac:dyDescent="0.35">
      <c r="A221" t="s">
        <v>14</v>
      </c>
      <c r="B221" t="s">
        <v>62</v>
      </c>
      <c r="C221">
        <v>101</v>
      </c>
      <c r="D221">
        <v>235.34</v>
      </c>
      <c r="E221">
        <v>7.42</v>
      </c>
      <c r="F221">
        <v>76075.19</v>
      </c>
    </row>
    <row r="222" spans="1:6" x14ac:dyDescent="0.35">
      <c r="A222" t="s">
        <v>14</v>
      </c>
      <c r="B222" t="s">
        <v>32</v>
      </c>
      <c r="C222">
        <v>101</v>
      </c>
      <c r="D222">
        <v>247.22</v>
      </c>
      <c r="E222">
        <v>7.07</v>
      </c>
      <c r="F222">
        <v>72473.3</v>
      </c>
    </row>
    <row r="223" spans="1:6" x14ac:dyDescent="0.35">
      <c r="A223" t="s">
        <v>6</v>
      </c>
      <c r="B223" t="s">
        <v>69</v>
      </c>
      <c r="C223">
        <v>101</v>
      </c>
      <c r="D223">
        <v>272.95</v>
      </c>
      <c r="E223">
        <v>7.32</v>
      </c>
      <c r="F223">
        <v>72299.460000000006</v>
      </c>
    </row>
    <row r="224" spans="1:6" x14ac:dyDescent="0.35">
      <c r="A224" t="s">
        <v>8</v>
      </c>
      <c r="B224" t="s">
        <v>65</v>
      </c>
      <c r="C224">
        <v>100</v>
      </c>
      <c r="D224">
        <v>240.97</v>
      </c>
      <c r="E224">
        <v>7.44</v>
      </c>
      <c r="F224">
        <v>76195.320000000007</v>
      </c>
    </row>
    <row r="225" spans="1:6" x14ac:dyDescent="0.35">
      <c r="A225" t="s">
        <v>10</v>
      </c>
      <c r="B225" t="s">
        <v>24</v>
      </c>
      <c r="C225">
        <v>100</v>
      </c>
      <c r="D225">
        <v>214.45</v>
      </c>
      <c r="E225">
        <v>7.81</v>
      </c>
      <c r="F225">
        <v>77631.03</v>
      </c>
    </row>
    <row r="226" spans="1:6" x14ac:dyDescent="0.35">
      <c r="A226" t="s">
        <v>8</v>
      </c>
      <c r="B226" t="s">
        <v>57</v>
      </c>
      <c r="C226">
        <v>99</v>
      </c>
      <c r="D226">
        <v>224.08</v>
      </c>
      <c r="E226">
        <v>7.41</v>
      </c>
      <c r="F226">
        <v>74934.03</v>
      </c>
    </row>
    <row r="227" spans="1:6" x14ac:dyDescent="0.35">
      <c r="A227" t="s">
        <v>8</v>
      </c>
      <c r="B227" t="s">
        <v>59</v>
      </c>
      <c r="C227">
        <v>99</v>
      </c>
      <c r="D227">
        <v>234.97</v>
      </c>
      <c r="E227">
        <v>7.6</v>
      </c>
      <c r="F227">
        <v>74537.41</v>
      </c>
    </row>
    <row r="228" spans="1:6" x14ac:dyDescent="0.35">
      <c r="A228" t="s">
        <v>8</v>
      </c>
      <c r="B228" t="s">
        <v>61</v>
      </c>
      <c r="C228">
        <v>99</v>
      </c>
      <c r="D228">
        <v>255.02</v>
      </c>
      <c r="E228">
        <v>7.19</v>
      </c>
      <c r="F228">
        <v>72232.639999999999</v>
      </c>
    </row>
    <row r="229" spans="1:6" x14ac:dyDescent="0.35">
      <c r="A229" t="s">
        <v>10</v>
      </c>
      <c r="B229" t="s">
        <v>34</v>
      </c>
      <c r="C229">
        <v>99</v>
      </c>
      <c r="D229">
        <v>227.61</v>
      </c>
      <c r="E229">
        <v>7.48</v>
      </c>
      <c r="F229">
        <v>77716.649999999994</v>
      </c>
    </row>
    <row r="230" spans="1:6" x14ac:dyDescent="0.35">
      <c r="A230" t="s">
        <v>10</v>
      </c>
      <c r="B230" t="s">
        <v>51</v>
      </c>
      <c r="C230">
        <v>99</v>
      </c>
      <c r="D230">
        <v>265.73</v>
      </c>
      <c r="E230">
        <v>7.11</v>
      </c>
      <c r="F230">
        <v>72113.67</v>
      </c>
    </row>
    <row r="231" spans="1:6" x14ac:dyDescent="0.35">
      <c r="A231" t="s">
        <v>14</v>
      </c>
      <c r="B231" t="s">
        <v>36</v>
      </c>
      <c r="C231">
        <v>99</v>
      </c>
      <c r="D231">
        <v>257.81</v>
      </c>
      <c r="E231">
        <v>7.25</v>
      </c>
      <c r="F231">
        <v>74918.58</v>
      </c>
    </row>
    <row r="232" spans="1:6" x14ac:dyDescent="0.35">
      <c r="A232" t="s">
        <v>6</v>
      </c>
      <c r="B232" t="s">
        <v>56</v>
      </c>
      <c r="C232">
        <v>99</v>
      </c>
      <c r="D232">
        <v>252.97</v>
      </c>
      <c r="E232">
        <v>7.28</v>
      </c>
      <c r="F232">
        <v>71149.02</v>
      </c>
    </row>
    <row r="233" spans="1:6" x14ac:dyDescent="0.35">
      <c r="A233" t="s">
        <v>6</v>
      </c>
      <c r="B233" t="s">
        <v>49</v>
      </c>
      <c r="C233">
        <v>98</v>
      </c>
      <c r="D233">
        <v>243.74</v>
      </c>
      <c r="E233">
        <v>7.4</v>
      </c>
      <c r="F233">
        <v>72937.61</v>
      </c>
    </row>
    <row r="234" spans="1:6" x14ac:dyDescent="0.35">
      <c r="A234" t="s">
        <v>6</v>
      </c>
      <c r="B234" t="s">
        <v>63</v>
      </c>
      <c r="C234">
        <v>98</v>
      </c>
      <c r="D234">
        <v>238.6</v>
      </c>
      <c r="E234">
        <v>7.22</v>
      </c>
      <c r="F234">
        <v>73554.179999999993</v>
      </c>
    </row>
    <row r="235" spans="1:6" x14ac:dyDescent="0.35">
      <c r="A235" t="s">
        <v>10</v>
      </c>
      <c r="B235" t="s">
        <v>57</v>
      </c>
      <c r="C235">
        <v>97</v>
      </c>
      <c r="D235">
        <v>231.71</v>
      </c>
      <c r="E235">
        <v>7.38</v>
      </c>
      <c r="F235">
        <v>75237.460000000006</v>
      </c>
    </row>
    <row r="236" spans="1:6" x14ac:dyDescent="0.35">
      <c r="A236" t="s">
        <v>10</v>
      </c>
      <c r="B236" t="s">
        <v>44</v>
      </c>
      <c r="C236">
        <v>97</v>
      </c>
      <c r="D236">
        <v>233.74</v>
      </c>
      <c r="E236">
        <v>7.04</v>
      </c>
      <c r="F236">
        <v>69259.87</v>
      </c>
    </row>
    <row r="237" spans="1:6" x14ac:dyDescent="0.35">
      <c r="A237" t="s">
        <v>6</v>
      </c>
      <c r="B237" t="s">
        <v>44</v>
      </c>
      <c r="C237">
        <v>97</v>
      </c>
      <c r="D237">
        <v>245.21</v>
      </c>
      <c r="E237">
        <v>7.43</v>
      </c>
      <c r="F237">
        <v>75062.48</v>
      </c>
    </row>
    <row r="238" spans="1:6" x14ac:dyDescent="0.35">
      <c r="A238" t="s">
        <v>8</v>
      </c>
      <c r="B238" t="s">
        <v>33</v>
      </c>
      <c r="C238">
        <v>95</v>
      </c>
      <c r="D238">
        <v>240.59</v>
      </c>
      <c r="E238">
        <v>7.36</v>
      </c>
      <c r="F238">
        <v>73288.59</v>
      </c>
    </row>
    <row r="239" spans="1:6" x14ac:dyDescent="0.35">
      <c r="A239" t="s">
        <v>10</v>
      </c>
      <c r="B239" t="s">
        <v>68</v>
      </c>
      <c r="C239">
        <v>95</v>
      </c>
      <c r="D239">
        <v>232.35</v>
      </c>
      <c r="E239">
        <v>7.28</v>
      </c>
      <c r="F239">
        <v>73487.520000000004</v>
      </c>
    </row>
    <row r="240" spans="1:6" x14ac:dyDescent="0.35">
      <c r="A240" t="s">
        <v>8</v>
      </c>
      <c r="B240" t="s">
        <v>62</v>
      </c>
      <c r="C240">
        <v>92</v>
      </c>
      <c r="D240">
        <v>250.8</v>
      </c>
      <c r="E240">
        <v>7.32</v>
      </c>
      <c r="F240">
        <v>76038.899999999994</v>
      </c>
    </row>
    <row r="241" spans="1:6" x14ac:dyDescent="0.35">
      <c r="A241" t="s">
        <v>8</v>
      </c>
      <c r="B241" t="s">
        <v>60</v>
      </c>
      <c r="C241">
        <v>91</v>
      </c>
      <c r="D241">
        <v>200.43</v>
      </c>
      <c r="E241">
        <v>7.42</v>
      </c>
      <c r="F241">
        <v>72898.259999999995</v>
      </c>
    </row>
    <row r="242" spans="1:6" x14ac:dyDescent="0.35">
      <c r="A242" t="s">
        <v>6</v>
      </c>
      <c r="B242" t="s">
        <v>70</v>
      </c>
      <c r="C242">
        <v>7</v>
      </c>
      <c r="D242">
        <v>148.43</v>
      </c>
      <c r="E242">
        <v>7.29</v>
      </c>
      <c r="F242">
        <v>73601.14</v>
      </c>
    </row>
    <row r="243" spans="1:6" x14ac:dyDescent="0.35">
      <c r="A243" t="s">
        <v>14</v>
      </c>
      <c r="B243" t="s">
        <v>70</v>
      </c>
      <c r="C243">
        <v>5</v>
      </c>
      <c r="D243">
        <v>156.80000000000001</v>
      </c>
      <c r="E243">
        <v>8</v>
      </c>
      <c r="F243">
        <v>84841.600000000006</v>
      </c>
    </row>
    <row r="244" spans="1:6" x14ac:dyDescent="0.35">
      <c r="A244" t="s">
        <v>10</v>
      </c>
      <c r="B244" t="s">
        <v>70</v>
      </c>
      <c r="C244">
        <v>3</v>
      </c>
      <c r="D244">
        <v>396.33</v>
      </c>
      <c r="E244">
        <v>6</v>
      </c>
      <c r="F244">
        <v>62969.67</v>
      </c>
    </row>
    <row r="245" spans="1:6" x14ac:dyDescent="0.35">
      <c r="A245" t="s">
        <v>8</v>
      </c>
      <c r="B245" t="s">
        <v>70</v>
      </c>
      <c r="C245">
        <v>1</v>
      </c>
      <c r="D245">
        <v>601</v>
      </c>
      <c r="E245">
        <v>5</v>
      </c>
      <c r="F245">
        <v>54771</v>
      </c>
    </row>
  </sheetData>
  <phoneticPr fontId="1" type="noConversion"/>
  <conditionalFormatting pivot="1" sqref="J22:J8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{C2EDDAB4-035C-4800-8416-A5241B8038F1}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C2EDDAB4-035C-4800-8416-A5241B8038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J22:J82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梦思 叶4</cp:lastModifiedBy>
  <dcterms:modified xsi:type="dcterms:W3CDTF">2026-06-09T09:18:51Z</dcterms:modified>
</cp:coreProperties>
</file>